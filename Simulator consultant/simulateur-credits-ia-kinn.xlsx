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alogue LLM" sheetId="1" state="visible" r:id="rId3"/>
    <sheet name="Cout par utilisation" sheetId="2" state="visible" r:id="rId4"/>
    <sheet name="Grille Credits" sheetId="3" state="visible" r:id="rId5"/>
    <sheet name="Simulation Revenus" sheetId="4" state="visible" r:id="rId6"/>
    <sheet name="Modeles I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<sst xmlns="http://schemas.openxmlformats.org/spreadsheetml/2006/main" count="185" uniqueCount="148">
  <si>
    <t xml:space="preserve">C4RBON GROUP - Simulateur Credits IA Kinn</t>
  </si>
  <si>
    <t xml:space="preserve">Taux EUR/USD</t>
  </si>
  <si>
    <t xml:space="preserve">Fournisseur</t>
  </si>
  <si>
    <t xml:space="preserve">Modele</t>
  </si>
  <si>
    <t xml:space="preserve">Input ($/1M tokens)</t>
  </si>
  <si>
    <t xml:space="preserve">Output ($/1M tokens)</t>
  </si>
  <si>
    <t xml:space="preserve">Input (EUR/1M tokens)</t>
  </si>
  <si>
    <t xml:space="preserve">Output (EUR/1M tokens)</t>
  </si>
  <si>
    <t xml:space="preserve">Context window</t>
  </si>
  <si>
    <t xml:space="preserve">Notes</t>
  </si>
  <si>
    <t xml:space="preserve">OpenAI</t>
  </si>
  <si>
    <t xml:space="preserve">gpt-4o</t>
  </si>
  <si>
    <t xml:space="preserve">128K</t>
  </si>
  <si>
    <t xml:space="preserve">Principal</t>
  </si>
  <si>
    <t xml:space="preserve">gpt-4o-mini</t>
  </si>
  <si>
    <t xml:space="preserve">Taches simples</t>
  </si>
  <si>
    <t xml:space="preserve">gpt-4.1</t>
  </si>
  <si>
    <t xml:space="preserve">1M</t>
  </si>
  <si>
    <t xml:space="preserve">Dernier modele</t>
  </si>
  <si>
    <t xml:space="preserve">gpt-4.1-mini</t>
  </si>
  <si>
    <t xml:space="preserve">Mini dernier</t>
  </si>
  <si>
    <t xml:space="preserve">gpt-4.1-nano</t>
  </si>
  <si>
    <t xml:space="preserve">Ultra low cost</t>
  </si>
  <si>
    <t xml:space="preserve">o3</t>
  </si>
  <si>
    <t xml:space="preserve">200K</t>
  </si>
  <si>
    <t xml:space="preserve">Reasoning</t>
  </si>
  <si>
    <t xml:space="preserve">o4-mini</t>
  </si>
  <si>
    <t xml:space="preserve">Reasoning mini</t>
  </si>
  <si>
    <t xml:space="preserve">Anthropic</t>
  </si>
  <si>
    <t xml:space="preserve">claude-sonnet-4</t>
  </si>
  <si>
    <t xml:space="preserve">claude-haiku-3.5</t>
  </si>
  <si>
    <t xml:space="preserve">Rapide</t>
  </si>
  <si>
    <t xml:space="preserve">A. Parametres d'utilisation type</t>
  </si>
  <si>
    <t xml:space="preserve">Modele principal utilise</t>
  </si>
  <si>
    <t xml:space="preserve">Tokens input moyens par requete</t>
  </si>
  <si>
    <t xml:space="preserve">Tokens output moyens par requete</t>
  </si>
  <si>
    <t xml:space="preserve">Cout input/1M tokens (EUR)</t>
  </si>
  <si>
    <t xml:space="preserve">Cout output/1M tokens (EUR)</t>
  </si>
  <si>
    <t xml:space="preserve">Cout input par requete</t>
  </si>
  <si>
    <t xml:space="preserve">Cout output par requete</t>
  </si>
  <si>
    <t xml:space="preserve">Cout total par requete IA</t>
  </si>
  <si>
    <t xml:space="preserve">B. Simulation usage par client</t>
  </si>
  <si>
    <t xml:space="preserve">Requetes IA par jour (moyenne)</t>
  </si>
  <si>
    <t xml:space="preserve">Jours actifs par mois</t>
  </si>
  <si>
    <t xml:space="preserve">Requetes IA par mois</t>
  </si>
  <si>
    <t xml:space="preserve">Cout IA par client/mois</t>
  </si>
  <si>
    <t xml:space="preserve">Requetes workflow par jour</t>
  </si>
  <si>
    <t xml:space="preserve">Requetes workflow par mois</t>
  </si>
  <si>
    <t xml:space="preserve">Cout execution workflow/requete</t>
  </si>
  <si>
    <t xml:space="preserve">Cout workflow par client/mois</t>
  </si>
  <si>
    <t xml:space="preserve">Cout total par client/mois</t>
  </si>
  <si>
    <t xml:space="preserve">C. Projection par nombre de clients</t>
  </si>
  <si>
    <t xml:space="preserve">Clients</t>
  </si>
  <si>
    <t xml:space="preserve">Cout IA mensuel</t>
  </si>
  <si>
    <t xml:space="preserve">Cout workflow mensuel</t>
  </si>
  <si>
    <t xml:space="preserve">Cout total mensuel</t>
  </si>
  <si>
    <t xml:space="preserve">Cout total annuel</t>
  </si>
  <si>
    <t xml:space="preserve">A. Definition du credit</t>
  </si>
  <si>
    <t xml:space="preserve">Tokens input par credit</t>
  </si>
  <si>
    <t xml:space="preserve">Tokens output par credit</t>
  </si>
  <si>
    <t xml:space="preserve">Modele de reference</t>
  </si>
  <si>
    <t xml:space="preserve">Cout reel par credit</t>
  </si>
  <si>
    <t xml:space="preserve">Requetes IA equivalentes par credit</t>
  </si>
  <si>
    <t xml:space="preserve">B. Packs inclus dans l'abonnement</t>
  </si>
  <si>
    <t xml:space="preserve">Abonnement</t>
  </si>
  <si>
    <t xml:space="preserve">Prix/mois (EUR)</t>
  </si>
  <si>
    <t xml:space="preserve">Credits inclus</t>
  </si>
  <si>
    <t xml:space="preserve">Cout reel credits</t>
  </si>
  <si>
    <t xml:space="preserve">Marge sur credits</t>
  </si>
  <si>
    <t xml:space="preserve">Valeur credit (EUR)</t>
  </si>
  <si>
    <t xml:space="preserve">Requetes IA incluses</t>
  </si>
  <si>
    <t xml:space="preserve">Starter</t>
  </si>
  <si>
    <t xml:space="preserve">Pro</t>
  </si>
  <si>
    <t xml:space="preserve">Business</t>
  </si>
  <si>
    <t xml:space="preserve">Enterprise</t>
  </si>
  <si>
    <t xml:space="preserve">C. Recharges pour abonnes (prix reduit)</t>
  </si>
  <si>
    <t xml:space="preserve">Ref prix/credit standalone (Pack 100)</t>
  </si>
  <si>
    <t xml:space="preserve">Pack</t>
  </si>
  <si>
    <t xml:space="preserve">Credits</t>
  </si>
  <si>
    <t xml:space="preserve">Prix (EUR)</t>
  </si>
  <si>
    <t xml:space="preserve">Prix/credit</t>
  </si>
  <si>
    <t xml:space="preserve">Cout reel</t>
  </si>
  <si>
    <t xml:space="preserve">Marge</t>
  </si>
  <si>
    <t xml:space="preserve">Marge %</t>
  </si>
  <si>
    <t xml:space="preserve">Remise vs standalone</t>
  </si>
  <si>
    <t xml:space="preserve">Recharge S</t>
  </si>
  <si>
    <t xml:space="preserve">Recharge M</t>
  </si>
  <si>
    <t xml:space="preserve">Recharge L</t>
  </si>
  <si>
    <t xml:space="preserve">Recharge XL</t>
  </si>
  <si>
    <t xml:space="preserve">Recharge XXL</t>
  </si>
  <si>
    <t xml:space="preserve">D. Packs standalone (sans abonnement)</t>
  </si>
  <si>
    <t xml:space="preserve">Pack 50</t>
  </si>
  <si>
    <t xml:space="preserve">Pack 100</t>
  </si>
  <si>
    <t xml:space="preserve">Pack 250</t>
  </si>
  <si>
    <t xml:space="preserve">Pack 500</t>
  </si>
  <si>
    <t xml:space="preserve">Pack 1000</t>
  </si>
  <si>
    <t xml:space="preserve">E. Comparatif prix/credit</t>
  </si>
  <si>
    <t xml:space="preserve">Source</t>
  </si>
  <si>
    <t xml:space="preserve">Prix/credit (EUR)</t>
  </si>
  <si>
    <t xml:space="preserve">Cout reel/credit</t>
  </si>
  <si>
    <t xml:space="preserve">Starter (abo)</t>
  </si>
  <si>
    <t xml:space="preserve">Pro (abo)</t>
  </si>
  <si>
    <t xml:space="preserve">Business (abo)</t>
  </si>
  <si>
    <t xml:space="preserve">Enterprise (abo)</t>
  </si>
  <si>
    <t xml:space="preserve">Standalone 50</t>
  </si>
  <si>
    <t xml:space="preserve">Standalone 1000</t>
  </si>
  <si>
    <t xml:space="preserve">A. Mix utilisateurs</t>
  </si>
  <si>
    <t xml:space="preserve">Clients Starter</t>
  </si>
  <si>
    <t xml:space="preserve">Clients Pro</t>
  </si>
  <si>
    <t xml:space="preserve">Clients Business</t>
  </si>
  <si>
    <t xml:space="preserve">Clients Enterprise</t>
  </si>
  <si>
    <t xml:space="preserve">Total clients</t>
  </si>
  <si>
    <t xml:space="preserve">% qui achetent des recharges</t>
  </si>
  <si>
    <t xml:space="preserve">Recharges moyennes/client/mois</t>
  </si>
  <si>
    <t xml:space="preserve">Pack recharge moyen (EUR)</t>
  </si>
  <si>
    <t xml:space="preserve">B. Revenus mensuels</t>
  </si>
  <si>
    <t xml:space="preserve">Revenus Starter</t>
  </si>
  <si>
    <t xml:space="preserve">Revenus Pro</t>
  </si>
  <si>
    <t xml:space="preserve">Revenus Business</t>
  </si>
  <si>
    <t xml:space="preserve">Revenus Enterprise</t>
  </si>
  <si>
    <t xml:space="preserve">Total abonnements</t>
  </si>
  <si>
    <t xml:space="preserve">Revenus recharges</t>
  </si>
  <si>
    <t xml:space="preserve">REVENU TOTAL MENSUEL</t>
  </si>
  <si>
    <t xml:space="preserve">REVENU TOTAL ANNUEL</t>
  </si>
  <si>
    <t xml:space="preserve">C. Couts mensuels</t>
  </si>
  <si>
    <t xml:space="preserve">Cout IA (credits consommes)</t>
  </si>
  <si>
    <t xml:space="preserve">Cout AWS infrastructure</t>
  </si>
  <si>
    <t xml:space="preserve">Total couts</t>
  </si>
  <si>
    <t xml:space="preserve">MARGE BRUTE MENSUELLE</t>
  </si>
  <si>
    <t xml:space="preserve">MARGE BRUTE %</t>
  </si>
  <si>
    <t xml:space="preserve">MARGE BRUTE ANNUELLE</t>
  </si>
  <si>
    <t xml:space="preserve">D. Projection 12 mois</t>
  </si>
  <si>
    <t xml:space="preserve">Croissance mensuelle clients</t>
  </si>
  <si>
    <t xml:space="preserve">Mois</t>
  </si>
  <si>
    <t xml:space="preserve">Revenus Abo</t>
  </si>
  <si>
    <t xml:space="preserve">Revenus Recharges</t>
  </si>
  <si>
    <t xml:space="preserve">Total Revenus</t>
  </si>
  <si>
    <t xml:space="preserve">Cout IA</t>
  </si>
  <si>
    <t xml:space="preserve">Cout AWS</t>
  </si>
  <si>
    <t xml:space="preserve">TOTAL</t>
  </si>
  <si>
    <t xml:space="preserve">Comparaison des modeles - Impact sur les marges</t>
  </si>
  <si>
    <t xml:space="preserve">Tokens input par requete</t>
  </si>
  <si>
    <t xml:space="preserve">Tokens output par requete</t>
  </si>
  <si>
    <t xml:space="preserve">Ref: Prix credit Pro (EUR)</t>
  </si>
  <si>
    <t xml:space="preserve">Cout/requete (EUR)</t>
  </si>
  <si>
    <t xml:space="preserve">Requetes par credit</t>
  </si>
  <si>
    <t xml:space="preserve">Marge/credit (Pack Pro)</t>
  </si>
  <si>
    <t xml:space="preserve">Impact marge si 100% ce modele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</si>
</sst>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#,##0.00,\$"/>
    <numFmt numFmtId="167" formatCode="#,##0.00,\€"/>
    <numFmt numFmtId="168" formatCode="#,##0"/>
    <numFmt numFmtId="169" formatCode="#,##0.000000,\€"/>
    <numFmt numFmtId="170" formatCode="#,##0.0000,\€"/>
    <numFmt numFmtId="171" formatCode="0.0%"/>
    <numFmt numFmtId="172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Poppins"/>
      <family val="0"/>
      <charset val="1"/>
    </font>
    <font>
      <b val="true"/>
      <sz val="11"/>
      <name val="Poppins"/>
      <family val="0"/>
      <charset val="1"/>
    </font>
    <font>
      <sz val="11"/>
      <color rgb="FF0000FF"/>
      <name val="Poppins"/>
      <family val="0"/>
      <charset val="1"/>
    </font>
    <font>
      <b val="true"/>
      <sz val="11"/>
      <color rgb="FFFFFFFF"/>
      <name val="Poppins"/>
      <family val="0"/>
      <charset val="1"/>
    </font>
    <font>
      <sz val="11"/>
      <name val="Poppins"/>
      <family val="0"/>
      <charset val="1"/>
    </font>
    <font>
      <b val="true"/>
      <sz val="12"/>
      <color rgb="FF333333"/>
      <name val="Poppins"/>
      <family val="0"/>
      <charset val="1"/>
    </font>
    <font>
      <i val="true"/>
      <sz val="10"/>
      <color rgb="FF888888"/>
      <name val="Poppin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8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8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8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8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8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8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23"/>
    <col collapsed="false" customWidth="true" hidden="false" outlineLevel="0" max="4" min="4" style="0" width="24"/>
    <col collapsed="false" customWidth="true" hidden="false" outlineLevel="0" max="5" min="5" style="0" width="25"/>
    <col collapsed="false" customWidth="true" hidden="false" outlineLevel="0" max="6" min="6" style="0" width="26"/>
    <col collapsed="false" customWidth="true" hidden="false" outlineLevel="0" max="8" min="7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3" t="n">
        <v>1.08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false" outlineLevel="0" collapsed="false">
      <c r="A5" s="5" t="s">
        <v>10</v>
      </c>
      <c r="B5" s="5" t="s">
        <v>11</v>
      </c>
      <c r="C5" s="6" t="n">
        <v>2.5</v>
      </c>
      <c r="D5" s="6" t="n">
        <v>10</v>
      </c>
      <c r="E5" s="7" t="n">
        <f aca="false">C5/$B$2</f>
        <v>2.31481481481482</v>
      </c>
      <c r="F5" s="7" t="n">
        <f aca="false">D5/$B$2</f>
        <v>9.25925925925926</v>
      </c>
      <c r="G5" s="5" t="s">
        <v>12</v>
      </c>
      <c r="H5" s="5" t="s">
        <v>13</v>
      </c>
    </row>
    <row r="6" customFormat="false" ht="15" hidden="false" customHeight="false" outlineLevel="0" collapsed="false">
      <c r="A6" s="8" t="s">
        <v>10</v>
      </c>
      <c r="B6" s="8" t="s">
        <v>14</v>
      </c>
      <c r="C6" s="9" t="n">
        <v>0.15</v>
      </c>
      <c r="D6" s="9" t="n">
        <v>0.6</v>
      </c>
      <c r="E6" s="10" t="n">
        <f aca="false">C6/$B$2</f>
        <v>0.138888888888889</v>
      </c>
      <c r="F6" s="10" t="n">
        <f aca="false">D6/$B$2</f>
        <v>0.555555555555556</v>
      </c>
      <c r="G6" s="8" t="s">
        <v>12</v>
      </c>
      <c r="H6" s="8" t="s">
        <v>15</v>
      </c>
    </row>
    <row r="7" customFormat="false" ht="15" hidden="false" customHeight="false" outlineLevel="0" collapsed="false">
      <c r="A7" s="5" t="s">
        <v>10</v>
      </c>
      <c r="B7" s="5" t="s">
        <v>16</v>
      </c>
      <c r="C7" s="6" t="n">
        <v>2</v>
      </c>
      <c r="D7" s="6" t="n">
        <v>8</v>
      </c>
      <c r="E7" s="7" t="n">
        <f aca="false">C7/$B$2</f>
        <v>1.85185185185185</v>
      </c>
      <c r="F7" s="7" t="n">
        <f aca="false">D7/$B$2</f>
        <v>7.40740740740741</v>
      </c>
      <c r="G7" s="5" t="s">
        <v>17</v>
      </c>
      <c r="H7" s="5" t="s">
        <v>18</v>
      </c>
    </row>
    <row r="8" customFormat="false" ht="15" hidden="false" customHeight="false" outlineLevel="0" collapsed="false">
      <c r="A8" s="8" t="s">
        <v>10</v>
      </c>
      <c r="B8" s="8" t="s">
        <v>19</v>
      </c>
      <c r="C8" s="9" t="n">
        <v>0.4</v>
      </c>
      <c r="D8" s="9" t="n">
        <v>1.6</v>
      </c>
      <c r="E8" s="10" t="n">
        <f aca="false">C8/$B$2</f>
        <v>0.37037037037037</v>
      </c>
      <c r="F8" s="10" t="n">
        <f aca="false">D8/$B$2</f>
        <v>1.48148148148148</v>
      </c>
      <c r="G8" s="8" t="s">
        <v>17</v>
      </c>
      <c r="H8" s="8" t="s">
        <v>20</v>
      </c>
    </row>
    <row r="9" customFormat="false" ht="15" hidden="false" customHeight="false" outlineLevel="0" collapsed="false">
      <c r="A9" s="5" t="s">
        <v>10</v>
      </c>
      <c r="B9" s="5" t="s">
        <v>21</v>
      </c>
      <c r="C9" s="6" t="n">
        <v>0.1</v>
      </c>
      <c r="D9" s="6" t="n">
        <v>0.4</v>
      </c>
      <c r="E9" s="7" t="n">
        <f aca="false">C9/$B$2</f>
        <v>0.0925925925925926</v>
      </c>
      <c r="F9" s="7" t="n">
        <f aca="false">D9/$B$2</f>
        <v>0.37037037037037</v>
      </c>
      <c r="G9" s="5" t="s">
        <v>17</v>
      </c>
      <c r="H9" s="5" t="s">
        <v>22</v>
      </c>
    </row>
    <row r="10" customFormat="false" ht="15" hidden="false" customHeight="false" outlineLevel="0" collapsed="false">
      <c r="A10" s="8" t="s">
        <v>10</v>
      </c>
      <c r="B10" s="8" t="s">
        <v>23</v>
      </c>
      <c r="C10" s="9" t="n">
        <v>2</v>
      </c>
      <c r="D10" s="9" t="n">
        <v>8</v>
      </c>
      <c r="E10" s="10" t="n">
        <f aca="false">C10/$B$2</f>
        <v>1.85185185185185</v>
      </c>
      <c r="F10" s="10" t="n">
        <f aca="false">D10/$B$2</f>
        <v>7.40740740740741</v>
      </c>
      <c r="G10" s="8" t="s">
        <v>24</v>
      </c>
      <c r="H10" s="8" t="s">
        <v>25</v>
      </c>
    </row>
    <row r="11" customFormat="false" ht="15" hidden="false" customHeight="false" outlineLevel="0" collapsed="false">
      <c r="A11" s="5" t="s">
        <v>10</v>
      </c>
      <c r="B11" s="5" t="s">
        <v>26</v>
      </c>
      <c r="C11" s="6" t="n">
        <v>1.1</v>
      </c>
      <c r="D11" s="6" t="n">
        <v>4.4</v>
      </c>
      <c r="E11" s="7" t="n">
        <f aca="false">C11/$B$2</f>
        <v>1.01851851851852</v>
      </c>
      <c r="F11" s="7" t="n">
        <f aca="false">D11/$B$2</f>
        <v>4.07407407407407</v>
      </c>
      <c r="G11" s="5" t="s">
        <v>24</v>
      </c>
      <c r="H11" s="5" t="s">
        <v>27</v>
      </c>
    </row>
    <row r="12" customFormat="false" ht="15" hidden="false" customHeight="false" outlineLevel="0" collapsed="false">
      <c r="A12" s="8" t="s">
        <v>28</v>
      </c>
      <c r="B12" s="8" t="s">
        <v>29</v>
      </c>
      <c r="C12" s="9" t="n">
        <v>3</v>
      </c>
      <c r="D12" s="9" t="n">
        <v>15</v>
      </c>
      <c r="E12" s="10" t="n">
        <f aca="false">C12/$B$2</f>
        <v>2.77777777777778</v>
      </c>
      <c r="F12" s="10" t="n">
        <f aca="false">D12/$B$2</f>
        <v>13.8888888888889</v>
      </c>
      <c r="G12" s="8" t="s">
        <v>24</v>
      </c>
      <c r="H12" s="8" t="s">
        <v>13</v>
      </c>
    </row>
    <row r="13" customFormat="false" ht="15" hidden="false" customHeight="false" outlineLevel="0" collapsed="false">
      <c r="A13" s="5" t="s">
        <v>28</v>
      </c>
      <c r="B13" s="5" t="s">
        <v>30</v>
      </c>
      <c r="C13" s="6" t="n">
        <v>0.8</v>
      </c>
      <c r="D13" s="6" t="n">
        <v>4</v>
      </c>
      <c r="E13" s="7" t="n">
        <f aca="false">C13/$B$2</f>
        <v>0.740740740740741</v>
      </c>
      <c r="F13" s="7" t="n">
        <f aca="false">D13/$B$2</f>
        <v>3.7037037037037</v>
      </c>
      <c r="G13" s="5" t="s">
        <v>24</v>
      </c>
      <c r="H13" s="5" t="s">
        <v>31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25"/>
    <col collapsed="false" customWidth="true" hidden="false" outlineLevel="0" max="4" min="4" style="0" width="22"/>
    <col collapsed="false" customWidth="true" hidden="false" outlineLevel="0" max="5" min="5" style="0" width="21"/>
    <col collapsed="false" customWidth="true" hidden="false" outlineLevel="0" max="8" min="6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11" t="s">
        <v>32</v>
      </c>
      <c r="B3" s="11"/>
      <c r="C3" s="11"/>
      <c r="D3" s="11"/>
      <c r="E3" s="11"/>
      <c r="F3" s="11"/>
      <c r="G3" s="11"/>
      <c r="H3" s="11"/>
    </row>
    <row r="4" customFormat="false" ht="15" hidden="false" customHeight="false" outlineLevel="0" collapsed="false">
      <c r="A4" s="2" t="s">
        <v>33</v>
      </c>
      <c r="B4" s="12" t="s">
        <v>14</v>
      </c>
    </row>
    <row r="5" customFormat="false" ht="15" hidden="false" customHeight="false" outlineLevel="0" collapsed="false">
      <c r="A5" s="2" t="s">
        <v>34</v>
      </c>
      <c r="B5" s="13" t="n">
        <v>2000</v>
      </c>
    </row>
    <row r="6" customFormat="false" ht="15" hidden="false" customHeight="false" outlineLevel="0" collapsed="false">
      <c r="A6" s="2" t="s">
        <v>35</v>
      </c>
      <c r="B6" s="13" t="n">
        <v>500</v>
      </c>
    </row>
    <row r="7" customFormat="false" ht="15" hidden="false" customHeight="false" outlineLevel="0" collapsed="false">
      <c r="A7" s="2" t="s">
        <v>36</v>
      </c>
      <c r="B7" s="14" t="n">
        <f aca="false">VLOOKUP(B4,'Catalogue LLM'!B5:F13,4,FALSE())</f>
        <v>0.138888888888889</v>
      </c>
    </row>
    <row r="8" customFormat="false" ht="15" hidden="false" customHeight="false" outlineLevel="0" collapsed="false">
      <c r="A8" s="2" t="s">
        <v>37</v>
      </c>
      <c r="B8" s="14" t="n">
        <f aca="false">VLOOKUP(B4,'Catalogue LLM'!B5:F13,5,FALSE())</f>
        <v>0.555555555555556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38</v>
      </c>
      <c r="B10" s="15" t="n">
        <f aca="false">(B5/1000000)*B7</f>
        <v>0.000277777777777778</v>
      </c>
    </row>
    <row r="11" customFormat="false" ht="15" hidden="false" customHeight="false" outlineLevel="0" collapsed="false">
      <c r="A11" s="2" t="s">
        <v>39</v>
      </c>
      <c r="B11" s="15" t="n">
        <f aca="false">(B6/1000000)*B8</f>
        <v>0.000277777777777778</v>
      </c>
    </row>
    <row r="12" customFormat="false" ht="15" hidden="false" customHeight="false" outlineLevel="0" collapsed="false">
      <c r="A12" s="2" t="s">
        <v>40</v>
      </c>
      <c r="B12" s="16" t="n">
        <f aca="false">B10+B11</f>
        <v>0.000555555555555555</v>
      </c>
    </row>
    <row r="15" customFormat="false" ht="15" hidden="false" customHeight="false" outlineLevel="0" collapsed="false">
      <c r="A15" s="11" t="s">
        <v>41</v>
      </c>
      <c r="B15" s="11"/>
      <c r="C15" s="11"/>
      <c r="D15" s="11"/>
      <c r="E15" s="11"/>
      <c r="F15" s="11"/>
      <c r="G15" s="11"/>
      <c r="H15" s="11"/>
    </row>
    <row r="16" customFormat="false" ht="15" hidden="false" customHeight="false" outlineLevel="0" collapsed="false">
      <c r="A16" s="2" t="s">
        <v>42</v>
      </c>
      <c r="B16" s="13" t="n">
        <v>20</v>
      </c>
    </row>
    <row r="17" customFormat="false" ht="15" hidden="false" customHeight="false" outlineLevel="0" collapsed="false">
      <c r="A17" s="2" t="s">
        <v>43</v>
      </c>
      <c r="B17" s="13" t="n">
        <v>22</v>
      </c>
    </row>
    <row r="18" customFormat="false" ht="15" hidden="false" customHeight="false" outlineLevel="0" collapsed="false">
      <c r="A18" s="2" t="s">
        <v>44</v>
      </c>
      <c r="B18" s="17" t="n">
        <f aca="false">B16*B17</f>
        <v>440</v>
      </c>
    </row>
    <row r="19" customFormat="false" ht="15" hidden="false" customHeight="false" outlineLevel="0" collapsed="false">
      <c r="A19" s="2" t="s">
        <v>45</v>
      </c>
      <c r="B19" s="14" t="n">
        <f aca="false">B18*B12</f>
        <v>0.244444444444444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2" t="s">
        <v>46</v>
      </c>
      <c r="B21" s="13" t="n">
        <v>50</v>
      </c>
    </row>
    <row r="22" customFormat="false" ht="15" hidden="false" customHeight="false" outlineLevel="0" collapsed="false">
      <c r="A22" s="2" t="s">
        <v>47</v>
      </c>
      <c r="B22" s="17" t="n">
        <f aca="false">B21*B17</f>
        <v>1100</v>
      </c>
    </row>
    <row r="23" customFormat="false" ht="15" hidden="false" customHeight="false" outlineLevel="0" collapsed="false">
      <c r="A23" s="2" t="s">
        <v>48</v>
      </c>
      <c r="B23" s="18" t="n">
        <v>0.0001</v>
      </c>
    </row>
    <row r="24" customFormat="false" ht="15" hidden="false" customHeight="false" outlineLevel="0" collapsed="false">
      <c r="A24" s="2" t="s">
        <v>49</v>
      </c>
      <c r="B24" s="15" t="n">
        <f aca="false">B22*B23</f>
        <v>0.11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2" t="s">
        <v>50</v>
      </c>
      <c r="B26" s="19" t="n">
        <f aca="false">B19+B24</f>
        <v>0.354444444444444</v>
      </c>
    </row>
    <row r="29" customFormat="false" ht="15" hidden="false" customHeight="false" outlineLevel="0" collapsed="false">
      <c r="A29" s="11" t="s">
        <v>51</v>
      </c>
      <c r="B29" s="11"/>
      <c r="C29" s="11"/>
      <c r="D29" s="11"/>
      <c r="E29" s="11"/>
      <c r="F29" s="11"/>
      <c r="G29" s="11"/>
      <c r="H29" s="11"/>
    </row>
    <row r="30" customFormat="false" ht="15" hidden="false" customHeight="false" outlineLevel="0" collapsed="false">
      <c r="A30" s="4" t="s">
        <v>52</v>
      </c>
      <c r="B30" s="4" t="s">
        <v>53</v>
      </c>
      <c r="C30" s="4" t="s">
        <v>54</v>
      </c>
      <c r="D30" s="4" t="s">
        <v>55</v>
      </c>
      <c r="E30" s="4" t="s">
        <v>56</v>
      </c>
    </row>
    <row r="31" customFormat="false" ht="15" hidden="false" customHeight="false" outlineLevel="0" collapsed="false">
      <c r="A31" s="20" t="n">
        <v>10</v>
      </c>
      <c r="B31" s="7" t="n">
        <f aca="false">A31*$B$19</f>
        <v>2.44444444444444</v>
      </c>
      <c r="C31" s="7" t="n">
        <f aca="false">A31*$B$24</f>
        <v>1.1</v>
      </c>
      <c r="D31" s="7" t="n">
        <f aca="false">B31+C31</f>
        <v>3.54444444444444</v>
      </c>
      <c r="E31" s="7" t="n">
        <f aca="false">D31*12</f>
        <v>42.5333333333333</v>
      </c>
    </row>
    <row r="32" customFormat="false" ht="15" hidden="false" customHeight="false" outlineLevel="0" collapsed="false">
      <c r="A32" s="21" t="n">
        <v>25</v>
      </c>
      <c r="B32" s="10" t="n">
        <f aca="false">A32*$B$19</f>
        <v>6.11111111111111</v>
      </c>
      <c r="C32" s="10" t="n">
        <f aca="false">A32*$B$24</f>
        <v>2.75</v>
      </c>
      <c r="D32" s="10" t="n">
        <f aca="false">B32+C32</f>
        <v>8.86111111111111</v>
      </c>
      <c r="E32" s="10" t="n">
        <f aca="false">D32*12</f>
        <v>106.333333333333</v>
      </c>
    </row>
    <row r="33" customFormat="false" ht="15" hidden="false" customHeight="false" outlineLevel="0" collapsed="false">
      <c r="A33" s="20" t="n">
        <v>50</v>
      </c>
      <c r="B33" s="7" t="n">
        <f aca="false">A33*$B$19</f>
        <v>12.2222222222222</v>
      </c>
      <c r="C33" s="7" t="n">
        <f aca="false">A33*$B$24</f>
        <v>5.5</v>
      </c>
      <c r="D33" s="7" t="n">
        <f aca="false">B33+C33</f>
        <v>17.7222222222222</v>
      </c>
      <c r="E33" s="7" t="n">
        <f aca="false">D33*12</f>
        <v>212.666666666667</v>
      </c>
    </row>
    <row r="34" customFormat="false" ht="15" hidden="false" customHeight="false" outlineLevel="0" collapsed="false">
      <c r="A34" s="21" t="n">
        <v>100</v>
      </c>
      <c r="B34" s="10" t="n">
        <f aca="false">A34*$B$19</f>
        <v>24.4444444444444</v>
      </c>
      <c r="C34" s="10" t="n">
        <f aca="false">A34*$B$24</f>
        <v>11</v>
      </c>
      <c r="D34" s="10" t="n">
        <f aca="false">B34+C34</f>
        <v>35.4444444444444</v>
      </c>
      <c r="E34" s="10" t="n">
        <f aca="false">D34*12</f>
        <v>425.333333333333</v>
      </c>
    </row>
    <row r="35" customFormat="false" ht="15" hidden="false" customHeight="false" outlineLevel="0" collapsed="false">
      <c r="A35" s="20" t="n">
        <v>200</v>
      </c>
      <c r="B35" s="7" t="n">
        <f aca="false">A35*$B$19</f>
        <v>48.8888888888889</v>
      </c>
      <c r="C35" s="7" t="n">
        <f aca="false">A35*$B$24</f>
        <v>22</v>
      </c>
      <c r="D35" s="7" t="n">
        <f aca="false">B35+C35</f>
        <v>70.8888888888889</v>
      </c>
      <c r="E35" s="7" t="n">
        <f aca="false">D35*12</f>
        <v>850.666666666667</v>
      </c>
    </row>
    <row r="36" customFormat="false" ht="15" hidden="false" customHeight="false" outlineLevel="0" collapsed="false">
      <c r="A36" s="21" t="n">
        <v>500</v>
      </c>
      <c r="B36" s="10" t="n">
        <f aca="false">A36*$B$19</f>
        <v>122.222222222222</v>
      </c>
      <c r="C36" s="10" t="n">
        <f aca="false">A36*$B$24</f>
        <v>55</v>
      </c>
      <c r="D36" s="10" t="n">
        <f aca="false">B36+C36</f>
        <v>177.222222222222</v>
      </c>
      <c r="E36" s="10" t="n">
        <f aca="false">D36*12</f>
        <v>2126.66666666667</v>
      </c>
    </row>
    <row r="37" customFormat="false" ht="15" hidden="false" customHeight="false" outlineLevel="0" collapsed="false">
      <c r="A37" s="20" t="n">
        <v>1000</v>
      </c>
      <c r="B37" s="7" t="n">
        <f aca="false">A37*$B$19</f>
        <v>244.444444444444</v>
      </c>
      <c r="C37" s="7" t="n">
        <f aca="false">A37*$B$24</f>
        <v>110</v>
      </c>
      <c r="D37" s="7" t="n">
        <f aca="false">B37+C37</f>
        <v>354.444444444444</v>
      </c>
      <c r="E37" s="7" t="n">
        <f aca="false">D37*12</f>
        <v>4253.33333333333</v>
      </c>
    </row>
  </sheetData>
  <mergeCells count="4">
    <mergeCell ref="A1:H1"/>
    <mergeCell ref="A3:H3"/>
    <mergeCell ref="A15:H15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0"/>
    <col collapsed="false" customWidth="true" hidden="false" outlineLevel="0" max="5" min="3" style="0" width="21"/>
    <col collapsed="false" customWidth="true" hidden="false" outlineLevel="0" max="6" min="6" style="0" width="23"/>
    <col collapsed="false" customWidth="true" hidden="false" outlineLevel="0" max="8" min="7" style="0" width="2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11" t="s">
        <v>57</v>
      </c>
      <c r="B3" s="11"/>
      <c r="C3" s="11"/>
      <c r="D3" s="11"/>
      <c r="E3" s="11"/>
      <c r="F3" s="11"/>
      <c r="G3" s="11"/>
      <c r="H3" s="11"/>
    </row>
    <row r="4" customFormat="false" ht="15" hidden="false" customHeight="false" outlineLevel="0" collapsed="false">
      <c r="A4" s="2" t="s">
        <v>58</v>
      </c>
      <c r="B4" s="13" t="n">
        <v>50000</v>
      </c>
    </row>
    <row r="5" customFormat="false" ht="15" hidden="false" customHeight="false" outlineLevel="0" collapsed="false">
      <c r="A5" s="2" t="s">
        <v>59</v>
      </c>
      <c r="B5" s="13" t="n">
        <v>12500</v>
      </c>
    </row>
    <row r="6" customFormat="false" ht="15" hidden="false" customHeight="false" outlineLevel="0" collapsed="false">
      <c r="A6" s="2" t="s">
        <v>60</v>
      </c>
      <c r="B6" s="12" t="s">
        <v>14</v>
      </c>
    </row>
    <row r="7" customFormat="false" ht="15" hidden="false" customHeight="false" outlineLevel="0" collapsed="false">
      <c r="A7" s="2" t="s">
        <v>36</v>
      </c>
      <c r="B7" s="22" t="n">
        <v>0.14</v>
      </c>
    </row>
    <row r="8" customFormat="false" ht="15" hidden="false" customHeight="false" outlineLevel="0" collapsed="false">
      <c r="A8" s="2" t="s">
        <v>37</v>
      </c>
      <c r="B8" s="22" t="n">
        <v>0.56</v>
      </c>
    </row>
    <row r="9" customFormat="false" ht="15" hidden="false" customHeight="false" outlineLevel="0" collapsed="false">
      <c r="A9" s="2" t="s">
        <v>61</v>
      </c>
      <c r="B9" s="23" t="n">
        <f aca="false">(B4/1000000)*B7+(B5/1000000)*B8</f>
        <v>0.014</v>
      </c>
    </row>
    <row r="10" customFormat="false" ht="15" hidden="false" customHeight="false" outlineLevel="0" collapsed="false">
      <c r="A10" s="2" t="s">
        <v>62</v>
      </c>
      <c r="B10" s="17" t="n">
        <f aca="false">B4/2000</f>
        <v>25</v>
      </c>
    </row>
    <row r="12" customFormat="false" ht="15" hidden="false" customHeight="false" outlineLevel="0" collapsed="false">
      <c r="A12" s="11" t="s">
        <v>63</v>
      </c>
      <c r="B12" s="11"/>
      <c r="C12" s="11"/>
      <c r="D12" s="11"/>
      <c r="E12" s="11"/>
      <c r="F12" s="11"/>
      <c r="G12" s="11"/>
      <c r="H12" s="11"/>
    </row>
    <row r="13" customFormat="false" ht="15" hidden="false" customHeight="false" outlineLevel="0" collapsed="false">
      <c r="A13" s="4" t="s">
        <v>64</v>
      </c>
      <c r="B13" s="4" t="s">
        <v>65</v>
      </c>
      <c r="C13" s="4" t="s">
        <v>66</v>
      </c>
      <c r="D13" s="4" t="s">
        <v>67</v>
      </c>
      <c r="E13" s="4" t="s">
        <v>68</v>
      </c>
      <c r="F13" s="4" t="s">
        <v>69</v>
      </c>
      <c r="G13" s="4" t="s">
        <v>70</v>
      </c>
    </row>
    <row r="14" customFormat="false" ht="15" hidden="false" customHeight="false" outlineLevel="0" collapsed="false">
      <c r="A14" s="24" t="s">
        <v>71</v>
      </c>
      <c r="B14" s="25" t="n">
        <v>49</v>
      </c>
      <c r="C14" s="26" t="n">
        <v>100</v>
      </c>
      <c r="D14" s="10" t="n">
        <f aca="false">C14*$B$9</f>
        <v>1.4</v>
      </c>
      <c r="E14" s="10" t="n">
        <f aca="false">B14-D14</f>
        <v>47.6</v>
      </c>
      <c r="F14" s="27" t="n">
        <f aca="false">B14/C14</f>
        <v>0.49</v>
      </c>
      <c r="G14" s="21" t="n">
        <f aca="false">C14*$B$10</f>
        <v>2500</v>
      </c>
    </row>
    <row r="15" customFormat="false" ht="15" hidden="false" customHeight="false" outlineLevel="0" collapsed="false">
      <c r="A15" s="28" t="s">
        <v>72</v>
      </c>
      <c r="B15" s="29" t="n">
        <v>99</v>
      </c>
      <c r="C15" s="30" t="n">
        <v>300</v>
      </c>
      <c r="D15" s="7" t="n">
        <f aca="false">C15*$B$9</f>
        <v>4.2</v>
      </c>
      <c r="E15" s="7" t="n">
        <f aca="false">B15-D15</f>
        <v>94.8</v>
      </c>
      <c r="F15" s="31" t="n">
        <f aca="false">B15/C15</f>
        <v>0.33</v>
      </c>
      <c r="G15" s="20" t="n">
        <f aca="false">C15*$B$10</f>
        <v>7500</v>
      </c>
    </row>
    <row r="16" customFormat="false" ht="15" hidden="false" customHeight="false" outlineLevel="0" collapsed="false">
      <c r="A16" s="24" t="s">
        <v>73</v>
      </c>
      <c r="B16" s="25" t="n">
        <v>199</v>
      </c>
      <c r="C16" s="26" t="n">
        <v>800</v>
      </c>
      <c r="D16" s="10" t="n">
        <f aca="false">C16*$B$9</f>
        <v>11.2</v>
      </c>
      <c r="E16" s="10" t="n">
        <f aca="false">B16-D16</f>
        <v>187.8</v>
      </c>
      <c r="F16" s="27" t="n">
        <f aca="false">B16/C16</f>
        <v>0.24875</v>
      </c>
      <c r="G16" s="21" t="n">
        <f aca="false">C16*$B$10</f>
        <v>20000</v>
      </c>
    </row>
    <row r="17" customFormat="false" ht="15" hidden="false" customHeight="false" outlineLevel="0" collapsed="false">
      <c r="A17" s="28" t="s">
        <v>74</v>
      </c>
      <c r="B17" s="29" t="n">
        <v>499</v>
      </c>
      <c r="C17" s="30" t="n">
        <v>2500</v>
      </c>
      <c r="D17" s="7" t="n">
        <f aca="false">C17*$B$9</f>
        <v>35</v>
      </c>
      <c r="E17" s="7" t="n">
        <f aca="false">B17-D17</f>
        <v>464</v>
      </c>
      <c r="F17" s="31" t="n">
        <f aca="false">B17/C17</f>
        <v>0.1996</v>
      </c>
      <c r="G17" s="20" t="n">
        <f aca="false">C17*$B$10</f>
        <v>62500</v>
      </c>
    </row>
    <row r="19" customFormat="false" ht="15" hidden="false" customHeight="false" outlineLevel="0" collapsed="false">
      <c r="A19" s="11" t="s">
        <v>75</v>
      </c>
      <c r="B19" s="11"/>
      <c r="C19" s="11"/>
      <c r="D19" s="11"/>
      <c r="E19" s="11"/>
      <c r="F19" s="11"/>
      <c r="G19" s="11"/>
      <c r="H19" s="11"/>
    </row>
    <row r="20" customFormat="false" ht="15" hidden="false" customHeight="false" outlineLevel="0" collapsed="false">
      <c r="A20" s="32" t="s">
        <v>76</v>
      </c>
      <c r="B20" s="33" t="n">
        <f aca="false">D31</f>
        <v>0.169</v>
      </c>
    </row>
    <row r="21" customFormat="false" ht="15" hidden="false" customHeight="false" outlineLevel="0" collapsed="false">
      <c r="A21" s="4" t="s">
        <v>77</v>
      </c>
      <c r="B21" s="4" t="s">
        <v>78</v>
      </c>
      <c r="C21" s="4" t="s">
        <v>79</v>
      </c>
      <c r="D21" s="4" t="s">
        <v>80</v>
      </c>
      <c r="E21" s="4" t="s">
        <v>81</v>
      </c>
      <c r="F21" s="4" t="s">
        <v>82</v>
      </c>
      <c r="G21" s="4" t="s">
        <v>83</v>
      </c>
      <c r="H21" s="4" t="s">
        <v>84</v>
      </c>
    </row>
    <row r="22" customFormat="false" ht="15" hidden="false" customHeight="false" outlineLevel="0" collapsed="false">
      <c r="A22" s="24" t="s">
        <v>85</v>
      </c>
      <c r="B22" s="26" t="n">
        <v>100</v>
      </c>
      <c r="C22" s="25" t="n">
        <v>9.9</v>
      </c>
      <c r="D22" s="27" t="n">
        <f aca="false">C22/B22</f>
        <v>0.099</v>
      </c>
      <c r="E22" s="10" t="n">
        <f aca="false">B22*$B$9</f>
        <v>1.4</v>
      </c>
      <c r="F22" s="10" t="n">
        <f aca="false">C22-E22</f>
        <v>8.5</v>
      </c>
      <c r="G22" s="34" t="n">
        <f aca="false">F22/C22</f>
        <v>0.858585858585859</v>
      </c>
      <c r="H22" s="34" t="n">
        <f aca="false">1-(D22/D43)</f>
        <v>-6.07142857142857</v>
      </c>
    </row>
    <row r="23" customFormat="false" ht="15" hidden="false" customHeight="false" outlineLevel="0" collapsed="false">
      <c r="A23" s="28" t="s">
        <v>86</v>
      </c>
      <c r="B23" s="30" t="n">
        <v>250</v>
      </c>
      <c r="C23" s="29" t="n">
        <v>19.9</v>
      </c>
      <c r="D23" s="31" t="n">
        <f aca="false">C23/B23</f>
        <v>0.0796</v>
      </c>
      <c r="E23" s="7" t="n">
        <f aca="false">B23*$B$9</f>
        <v>3.5</v>
      </c>
      <c r="F23" s="7" t="n">
        <f aca="false">C23-E23</f>
        <v>16.4</v>
      </c>
      <c r="G23" s="35" t="n">
        <f aca="false">F23/C23</f>
        <v>0.824120603015075</v>
      </c>
      <c r="H23" s="35" t="n">
        <f aca="false">1-(D23/D43)</f>
        <v>-4.68571428571428</v>
      </c>
    </row>
    <row r="24" customFormat="false" ht="15" hidden="false" customHeight="false" outlineLevel="0" collapsed="false">
      <c r="A24" s="24" t="s">
        <v>87</v>
      </c>
      <c r="B24" s="26" t="n">
        <v>500</v>
      </c>
      <c r="C24" s="25" t="n">
        <v>34.9</v>
      </c>
      <c r="D24" s="27" t="n">
        <f aca="false">C24/B24</f>
        <v>0.0698</v>
      </c>
      <c r="E24" s="10" t="n">
        <f aca="false">B24*$B$9</f>
        <v>7</v>
      </c>
      <c r="F24" s="10" t="n">
        <f aca="false">C24-E24</f>
        <v>27.9</v>
      </c>
      <c r="G24" s="34" t="n">
        <f aca="false">F24/C24</f>
        <v>0.799426934097421</v>
      </c>
      <c r="H24" s="34" t="n">
        <f aca="false">1-(D24/D43)</f>
        <v>-3.98571428571429</v>
      </c>
    </row>
    <row r="25" customFormat="false" ht="15" hidden="false" customHeight="false" outlineLevel="0" collapsed="false">
      <c r="A25" s="28" t="s">
        <v>88</v>
      </c>
      <c r="B25" s="30" t="n">
        <v>1000</v>
      </c>
      <c r="C25" s="29" t="n">
        <v>59.9</v>
      </c>
      <c r="D25" s="31" t="n">
        <f aca="false">C25/B25</f>
        <v>0.0599</v>
      </c>
      <c r="E25" s="7" t="n">
        <f aca="false">B25*$B$9</f>
        <v>14</v>
      </c>
      <c r="F25" s="7" t="n">
        <f aca="false">C25-E25</f>
        <v>45.9</v>
      </c>
      <c r="G25" s="35" t="n">
        <f aca="false">F25/C25</f>
        <v>0.766277128547579</v>
      </c>
      <c r="H25" s="35" t="n">
        <f aca="false">1-(D25/D43)</f>
        <v>-3.27857142857143</v>
      </c>
    </row>
    <row r="26" customFormat="false" ht="15" hidden="false" customHeight="false" outlineLevel="0" collapsed="false">
      <c r="A26" s="24" t="s">
        <v>89</v>
      </c>
      <c r="B26" s="26" t="n">
        <v>2500</v>
      </c>
      <c r="C26" s="25" t="n">
        <v>129.9</v>
      </c>
      <c r="D26" s="27" t="n">
        <f aca="false">C26/B26</f>
        <v>0.05196</v>
      </c>
      <c r="E26" s="10" t="n">
        <f aca="false">B26*$B$9</f>
        <v>35</v>
      </c>
      <c r="F26" s="10" t="n">
        <f aca="false">C26-E26</f>
        <v>94.9</v>
      </c>
      <c r="G26" s="34" t="n">
        <f aca="false">F26/C26</f>
        <v>0.730561970746728</v>
      </c>
      <c r="H26" s="34" t="n">
        <f aca="false">1-(D26/D43)</f>
        <v>-2.71142857142857</v>
      </c>
    </row>
    <row r="28" customFormat="false" ht="15" hidden="false" customHeight="false" outlineLevel="0" collapsed="false">
      <c r="A28" s="11" t="s">
        <v>90</v>
      </c>
      <c r="B28" s="11"/>
      <c r="C28" s="11"/>
      <c r="D28" s="11"/>
      <c r="E28" s="11"/>
      <c r="F28" s="11"/>
      <c r="G28" s="11"/>
      <c r="H28" s="11"/>
    </row>
    <row r="29" customFormat="false" ht="15" hidden="false" customHeight="false" outlineLevel="0" collapsed="false">
      <c r="A29" s="4" t="s">
        <v>77</v>
      </c>
      <c r="B29" s="4" t="s">
        <v>78</v>
      </c>
      <c r="C29" s="4" t="s">
        <v>79</v>
      </c>
      <c r="D29" s="4" t="s">
        <v>80</v>
      </c>
      <c r="E29" s="4" t="s">
        <v>81</v>
      </c>
      <c r="F29" s="4" t="s">
        <v>82</v>
      </c>
      <c r="G29" s="4" t="s">
        <v>83</v>
      </c>
    </row>
    <row r="30" customFormat="false" ht="15" hidden="false" customHeight="false" outlineLevel="0" collapsed="false">
      <c r="A30" s="24" t="s">
        <v>91</v>
      </c>
      <c r="B30" s="26" t="n">
        <v>50</v>
      </c>
      <c r="C30" s="25" t="n">
        <v>9.9</v>
      </c>
      <c r="D30" s="27" t="n">
        <f aca="false">C30/B30</f>
        <v>0.198</v>
      </c>
      <c r="E30" s="10" t="n">
        <f aca="false">B30*$B$9</f>
        <v>0.7</v>
      </c>
      <c r="F30" s="10" t="n">
        <f aca="false">C30-E30</f>
        <v>9.2</v>
      </c>
      <c r="G30" s="34" t="n">
        <f aca="false">F30/C30</f>
        <v>0.929292929292929</v>
      </c>
    </row>
    <row r="31" customFormat="false" ht="15" hidden="false" customHeight="false" outlineLevel="0" collapsed="false">
      <c r="A31" s="28" t="s">
        <v>92</v>
      </c>
      <c r="B31" s="30" t="n">
        <v>100</v>
      </c>
      <c r="C31" s="29" t="n">
        <v>16.9</v>
      </c>
      <c r="D31" s="31" t="n">
        <f aca="false">C31/B31</f>
        <v>0.169</v>
      </c>
      <c r="E31" s="7" t="n">
        <f aca="false">B31*$B$9</f>
        <v>1.4</v>
      </c>
      <c r="F31" s="7" t="n">
        <f aca="false">C31-E31</f>
        <v>15.5</v>
      </c>
      <c r="G31" s="35" t="n">
        <f aca="false">F31/C31</f>
        <v>0.91715976331361</v>
      </c>
    </row>
    <row r="32" customFormat="false" ht="15" hidden="false" customHeight="false" outlineLevel="0" collapsed="false">
      <c r="A32" s="24" t="s">
        <v>93</v>
      </c>
      <c r="B32" s="26" t="n">
        <v>250</v>
      </c>
      <c r="C32" s="25" t="n">
        <v>34.9</v>
      </c>
      <c r="D32" s="27" t="n">
        <f aca="false">C32/B32</f>
        <v>0.1396</v>
      </c>
      <c r="E32" s="10" t="n">
        <f aca="false">B32*$B$9</f>
        <v>3.5</v>
      </c>
      <c r="F32" s="10" t="n">
        <f aca="false">C32-E32</f>
        <v>31.4</v>
      </c>
      <c r="G32" s="34" t="n">
        <f aca="false">F32/C32</f>
        <v>0.899713467048711</v>
      </c>
    </row>
    <row r="33" customFormat="false" ht="15" hidden="false" customHeight="false" outlineLevel="0" collapsed="false">
      <c r="A33" s="28" t="s">
        <v>94</v>
      </c>
      <c r="B33" s="30" t="n">
        <v>500</v>
      </c>
      <c r="C33" s="29" t="n">
        <v>59.9</v>
      </c>
      <c r="D33" s="31" t="n">
        <f aca="false">C33/B33</f>
        <v>0.1198</v>
      </c>
      <c r="E33" s="7" t="n">
        <f aca="false">B33*$B$9</f>
        <v>7</v>
      </c>
      <c r="F33" s="7" t="n">
        <f aca="false">C33-E33</f>
        <v>52.9</v>
      </c>
      <c r="G33" s="35" t="n">
        <f aca="false">F33/C33</f>
        <v>0.88313856427379</v>
      </c>
    </row>
    <row r="34" customFormat="false" ht="15" hidden="false" customHeight="false" outlineLevel="0" collapsed="false">
      <c r="A34" s="24" t="s">
        <v>95</v>
      </c>
      <c r="B34" s="26" t="n">
        <v>1000</v>
      </c>
      <c r="C34" s="25" t="n">
        <v>99.9</v>
      </c>
      <c r="D34" s="27" t="n">
        <f aca="false">C34/B34</f>
        <v>0.0999</v>
      </c>
      <c r="E34" s="10" t="n">
        <f aca="false">B34*$B$9</f>
        <v>14</v>
      </c>
      <c r="F34" s="10" t="n">
        <f aca="false">C34-E34</f>
        <v>85.9</v>
      </c>
      <c r="G34" s="34" t="n">
        <f aca="false">F34/C34</f>
        <v>0.85985985985986</v>
      </c>
    </row>
    <row r="36" customFormat="false" ht="15" hidden="false" customHeight="false" outlineLevel="0" collapsed="false">
      <c r="A36" s="11" t="s">
        <v>96</v>
      </c>
      <c r="B36" s="11"/>
      <c r="C36" s="11"/>
      <c r="D36" s="11"/>
      <c r="E36" s="11"/>
      <c r="F36" s="11"/>
      <c r="G36" s="11"/>
      <c r="H36" s="11"/>
    </row>
    <row r="37" customFormat="false" ht="15" hidden="false" customHeight="false" outlineLevel="0" collapsed="false">
      <c r="A37" s="4" t="s">
        <v>97</v>
      </c>
      <c r="B37" s="4" t="s">
        <v>78</v>
      </c>
      <c r="C37" s="4" t="s">
        <v>98</v>
      </c>
      <c r="D37" s="4" t="s">
        <v>99</v>
      </c>
      <c r="E37" s="4" t="s">
        <v>83</v>
      </c>
    </row>
    <row r="38" customFormat="false" ht="15" hidden="false" customHeight="false" outlineLevel="0" collapsed="false">
      <c r="A38" s="24" t="s">
        <v>100</v>
      </c>
      <c r="B38" s="21" t="n">
        <f aca="false">C14</f>
        <v>100</v>
      </c>
      <c r="C38" s="27" t="n">
        <f aca="false">F14</f>
        <v>0.49</v>
      </c>
      <c r="D38" s="27" t="n">
        <f aca="false">$B$9</f>
        <v>0.014</v>
      </c>
      <c r="E38" s="34" t="n">
        <f aca="false">(C38-D38)/C38</f>
        <v>0.971428571428571</v>
      </c>
    </row>
    <row r="39" customFormat="false" ht="15" hidden="false" customHeight="false" outlineLevel="0" collapsed="false">
      <c r="A39" s="28" t="s">
        <v>101</v>
      </c>
      <c r="B39" s="20" t="n">
        <f aca="false">C15</f>
        <v>300</v>
      </c>
      <c r="C39" s="31" t="n">
        <f aca="false">F15</f>
        <v>0.33</v>
      </c>
      <c r="D39" s="31" t="n">
        <f aca="false">$B$9</f>
        <v>0.014</v>
      </c>
      <c r="E39" s="35" t="n">
        <f aca="false">(C39-D39)/C39</f>
        <v>0.957575757575758</v>
      </c>
    </row>
    <row r="40" customFormat="false" ht="15" hidden="false" customHeight="false" outlineLevel="0" collapsed="false">
      <c r="A40" s="24" t="s">
        <v>102</v>
      </c>
      <c r="B40" s="21" t="n">
        <f aca="false">C16</f>
        <v>800</v>
      </c>
      <c r="C40" s="27" t="n">
        <f aca="false">F16</f>
        <v>0.24875</v>
      </c>
      <c r="D40" s="27" t="n">
        <f aca="false">$B$9</f>
        <v>0.014</v>
      </c>
      <c r="E40" s="34" t="n">
        <f aca="false">(C40-D40)/C40</f>
        <v>0.943718592964824</v>
      </c>
    </row>
    <row r="41" customFormat="false" ht="15" hidden="false" customHeight="false" outlineLevel="0" collapsed="false">
      <c r="A41" s="28" t="s">
        <v>103</v>
      </c>
      <c r="B41" s="20" t="n">
        <f aca="false">C17</f>
        <v>2500</v>
      </c>
      <c r="C41" s="31" t="n">
        <f aca="false">F17</f>
        <v>0.1996</v>
      </c>
      <c r="D41" s="31" t="n">
        <f aca="false">$B$9</f>
        <v>0.014</v>
      </c>
      <c r="E41" s="35" t="n">
        <f aca="false">(C41-D41)/C41</f>
        <v>0.929859719438878</v>
      </c>
    </row>
    <row r="42" customFormat="false" ht="15" hidden="false" customHeight="false" outlineLevel="0" collapsed="false">
      <c r="A42" s="24" t="s">
        <v>85</v>
      </c>
      <c r="B42" s="21" t="n">
        <f aca="false">B22</f>
        <v>100</v>
      </c>
      <c r="C42" s="27" t="n">
        <f aca="false">D22</f>
        <v>0.099</v>
      </c>
      <c r="D42" s="27" t="n">
        <f aca="false">$B$9</f>
        <v>0.014</v>
      </c>
      <c r="E42" s="34" t="n">
        <f aca="false">G22</f>
        <v>0.858585858585859</v>
      </c>
    </row>
    <row r="43" customFormat="false" ht="15" hidden="false" customHeight="false" outlineLevel="0" collapsed="false">
      <c r="A43" s="28" t="s">
        <v>88</v>
      </c>
      <c r="B43" s="20" t="n">
        <f aca="false">B25</f>
        <v>1000</v>
      </c>
      <c r="C43" s="31" t="n">
        <f aca="false">D25</f>
        <v>0.0599</v>
      </c>
      <c r="D43" s="31" t="n">
        <f aca="false">$B$9</f>
        <v>0.014</v>
      </c>
      <c r="E43" s="35" t="n">
        <f aca="false">G25</f>
        <v>0.766277128547579</v>
      </c>
    </row>
    <row r="44" customFormat="false" ht="15" hidden="false" customHeight="false" outlineLevel="0" collapsed="false">
      <c r="A44" s="24" t="s">
        <v>104</v>
      </c>
      <c r="B44" s="21" t="n">
        <f aca="false">B30</f>
        <v>50</v>
      </c>
      <c r="C44" s="27" t="n">
        <f aca="false">D30</f>
        <v>0.198</v>
      </c>
      <c r="D44" s="27" t="n">
        <f aca="false">$B$9</f>
        <v>0.014</v>
      </c>
      <c r="E44" s="34" t="n">
        <f aca="false">G30</f>
        <v>0.929292929292929</v>
      </c>
    </row>
    <row r="45" customFormat="false" ht="15" hidden="false" customHeight="false" outlineLevel="0" collapsed="false">
      <c r="A45" s="28" t="s">
        <v>105</v>
      </c>
      <c r="B45" s="20" t="n">
        <f aca="false">B34</f>
        <v>1000</v>
      </c>
      <c r="C45" s="31" t="n">
        <f aca="false">D34</f>
        <v>0.0999</v>
      </c>
      <c r="D45" s="31" t="n">
        <f aca="false">$B$9</f>
        <v>0.014</v>
      </c>
      <c r="E45" s="35" t="n">
        <f aca="false">G34</f>
        <v>0.85985985985986</v>
      </c>
    </row>
  </sheetData>
  <mergeCells count="6">
    <mergeCell ref="A1:H1"/>
    <mergeCell ref="A3:H3"/>
    <mergeCell ref="A12:H12"/>
    <mergeCell ref="A19:H19"/>
    <mergeCell ref="A28:H28"/>
    <mergeCell ref="A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30"/>
    <col collapsed="false" customWidth="true" hidden="false" outlineLevel="0" max="4" min="4" style="0" width="26"/>
    <col collapsed="false" customWidth="true" hidden="false" outlineLevel="0" max="5" min="5" style="0" width="17"/>
    <col collapsed="false" customWidth="true" hidden="false" outlineLevel="0" max="6" min="6" style="0" width="30"/>
    <col collapsed="false" customWidth="true" hidden="false" outlineLevel="0" max="8" min="7" style="0" width="17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11" t="s">
        <v>106</v>
      </c>
      <c r="B3" s="11"/>
      <c r="C3" s="11"/>
      <c r="D3" s="11"/>
      <c r="E3" s="11"/>
      <c r="F3" s="11"/>
      <c r="G3" s="11"/>
      <c r="H3" s="11"/>
    </row>
    <row r="4" customFormat="false" ht="15" hidden="false" customHeight="false" outlineLevel="0" collapsed="false">
      <c r="A4" s="2" t="s">
        <v>107</v>
      </c>
      <c r="B4" s="13" t="n">
        <v>100</v>
      </c>
    </row>
    <row r="5" customFormat="false" ht="15" hidden="false" customHeight="false" outlineLevel="0" collapsed="false">
      <c r="A5" s="2" t="s">
        <v>108</v>
      </c>
      <c r="B5" s="13" t="n">
        <v>50</v>
      </c>
    </row>
    <row r="6" customFormat="false" ht="15" hidden="false" customHeight="false" outlineLevel="0" collapsed="false">
      <c r="A6" s="2" t="s">
        <v>109</v>
      </c>
      <c r="B6" s="13" t="n">
        <v>20</v>
      </c>
    </row>
    <row r="7" customFormat="false" ht="15" hidden="false" customHeight="false" outlineLevel="0" collapsed="false">
      <c r="A7" s="2" t="s">
        <v>110</v>
      </c>
      <c r="B7" s="13" t="n">
        <v>5</v>
      </c>
    </row>
    <row r="8" customFormat="false" ht="15" hidden="false" customHeight="false" outlineLevel="0" collapsed="false">
      <c r="A8" s="2" t="s">
        <v>111</v>
      </c>
      <c r="B8" s="36" t="n">
        <f aca="false">SUM(B4:B7)</f>
        <v>175</v>
      </c>
    </row>
    <row r="10" customFormat="false" ht="15" hidden="false" customHeight="false" outlineLevel="0" collapsed="false">
      <c r="A10" s="2" t="s">
        <v>112</v>
      </c>
      <c r="B10" s="37" t="n">
        <v>0.3</v>
      </c>
    </row>
    <row r="11" customFormat="false" ht="15" hidden="false" customHeight="false" outlineLevel="0" collapsed="false">
      <c r="A11" s="2" t="s">
        <v>113</v>
      </c>
      <c r="B11" s="38" t="n">
        <v>1.5</v>
      </c>
    </row>
    <row r="12" customFormat="false" ht="15" hidden="false" customHeight="false" outlineLevel="0" collapsed="false">
      <c r="A12" s="2" t="s">
        <v>114</v>
      </c>
      <c r="B12" s="22" t="n">
        <v>19.9</v>
      </c>
    </row>
    <row r="18" customFormat="false" ht="15" hidden="false" customHeight="false" outlineLevel="0" collapsed="false">
      <c r="A18" s="11" t="s">
        <v>115</v>
      </c>
      <c r="B18" s="11"/>
      <c r="C18" s="11"/>
      <c r="D18" s="11"/>
      <c r="E18" s="11"/>
      <c r="F18" s="11"/>
      <c r="G18" s="11"/>
      <c r="H18" s="11"/>
    </row>
    <row r="19" customFormat="false" ht="15" hidden="false" customHeight="false" outlineLevel="0" collapsed="false">
      <c r="A19" s="2" t="s">
        <v>116</v>
      </c>
      <c r="B19" s="14" t="n">
        <f aca="false">B4*'Grille Credits'!B14</f>
        <v>4900</v>
      </c>
    </row>
    <row r="20" customFormat="false" ht="15" hidden="false" customHeight="false" outlineLevel="0" collapsed="false">
      <c r="A20" s="2" t="s">
        <v>117</v>
      </c>
      <c r="B20" s="14" t="n">
        <f aca="false">B5*'Grille Credits'!B15</f>
        <v>4950</v>
      </c>
    </row>
    <row r="21" customFormat="false" ht="15" hidden="false" customHeight="false" outlineLevel="0" collapsed="false">
      <c r="A21" s="2" t="s">
        <v>118</v>
      </c>
      <c r="B21" s="14" t="n">
        <f aca="false">B6*'Grille Credits'!B16</f>
        <v>3980</v>
      </c>
    </row>
    <row r="22" customFormat="false" ht="15" hidden="false" customHeight="false" outlineLevel="0" collapsed="false">
      <c r="A22" s="2" t="s">
        <v>119</v>
      </c>
      <c r="B22" s="14" t="n">
        <f aca="false">B7*'Grille Credits'!B17</f>
        <v>2495</v>
      </c>
    </row>
    <row r="23" customFormat="false" ht="15" hidden="false" customHeight="false" outlineLevel="0" collapsed="false">
      <c r="A23" s="2" t="s">
        <v>120</v>
      </c>
      <c r="B23" s="19" t="n">
        <f aca="false">SUM(B19:B22)</f>
        <v>16325</v>
      </c>
    </row>
    <row r="25" customFormat="false" ht="15" hidden="false" customHeight="false" outlineLevel="0" collapsed="false">
      <c r="A25" s="2" t="s">
        <v>121</v>
      </c>
      <c r="B25" s="14" t="n">
        <f aca="false">B8*B10*B11*B12</f>
        <v>1567.125</v>
      </c>
    </row>
    <row r="27" customFormat="false" ht="15" hidden="false" customHeight="false" outlineLevel="0" collapsed="false">
      <c r="A27" s="2" t="s">
        <v>122</v>
      </c>
      <c r="B27" s="19" t="n">
        <f aca="false">B23+B25</f>
        <v>17892.125</v>
      </c>
    </row>
    <row r="28" customFormat="false" ht="15" hidden="false" customHeight="false" outlineLevel="0" collapsed="false">
      <c r="A28" s="2" t="s">
        <v>123</v>
      </c>
      <c r="B28" s="19" t="n">
        <f aca="false">B27*12</f>
        <v>214705.5</v>
      </c>
    </row>
    <row r="33" customFormat="false" ht="15" hidden="false" customHeight="false" outlineLevel="0" collapsed="false">
      <c r="A33" s="11" t="s">
        <v>124</v>
      </c>
      <c r="B33" s="11"/>
      <c r="C33" s="11"/>
      <c r="D33" s="11"/>
      <c r="E33" s="11"/>
      <c r="F33" s="11"/>
      <c r="G33" s="11"/>
      <c r="H33" s="11"/>
    </row>
    <row r="34" customFormat="false" ht="15" hidden="false" customHeight="false" outlineLevel="0" collapsed="false">
      <c r="A34" s="2" t="s">
        <v>125</v>
      </c>
      <c r="B34" s="14" t="n">
        <f aca="false">(B4*'Grille Credits'!C14+B5*'Grille Credits'!C15+B6*'Grille Credits'!C16+B7*'Grille Credits'!C17)*'Grille Credits'!$B$9 + B8*B10*B11*100*'Grille Credits'!$B$9</f>
        <v>859.25</v>
      </c>
    </row>
    <row r="35" customFormat="false" ht="15" hidden="false" customHeight="false" outlineLevel="0" collapsed="false">
      <c r="A35" s="2" t="s">
        <v>126</v>
      </c>
      <c r="B35" s="22" t="n">
        <v>0</v>
      </c>
    </row>
    <row r="36" customFormat="false" ht="15" hidden="false" customHeight="false" outlineLevel="0" collapsed="false">
      <c r="A36" s="2" t="s">
        <v>127</v>
      </c>
      <c r="B36" s="19" t="n">
        <f aca="false">B34+B35</f>
        <v>859.25</v>
      </c>
    </row>
    <row r="38" customFormat="false" ht="15" hidden="false" customHeight="false" outlineLevel="0" collapsed="false">
      <c r="A38" s="2" t="s">
        <v>128</v>
      </c>
      <c r="B38" s="19" t="n">
        <f aca="false">B27-B36</f>
        <v>17032.875</v>
      </c>
    </row>
    <row r="39" customFormat="false" ht="15" hidden="false" customHeight="false" outlineLevel="0" collapsed="false">
      <c r="A39" s="2" t="s">
        <v>129</v>
      </c>
      <c r="B39" s="39" t="n">
        <f aca="false">IF(B27=0,0,B38/B27)</f>
        <v>0.95197607886151</v>
      </c>
    </row>
    <row r="40" customFormat="false" ht="15" hidden="false" customHeight="false" outlineLevel="0" collapsed="false">
      <c r="A40" s="2" t="s">
        <v>130</v>
      </c>
      <c r="B40" s="19" t="n">
        <f aca="false">B38*12</f>
        <v>204394.5</v>
      </c>
    </row>
    <row r="43" customFormat="false" ht="15" hidden="false" customHeight="false" outlineLevel="0" collapsed="false">
      <c r="A43" s="11" t="s">
        <v>131</v>
      </c>
      <c r="B43" s="11"/>
      <c r="C43" s="11"/>
      <c r="D43" s="11"/>
      <c r="E43" s="11"/>
      <c r="F43" s="11"/>
      <c r="G43" s="11"/>
      <c r="H43" s="11"/>
    </row>
    <row r="44" customFormat="false" ht="15" hidden="false" customHeight="false" outlineLevel="0" collapsed="false">
      <c r="A44" s="2" t="s">
        <v>132</v>
      </c>
      <c r="B44" s="37" t="n">
        <v>0.1</v>
      </c>
    </row>
    <row r="46" customFormat="false" ht="15" hidden="false" customHeight="false" outlineLevel="0" collapsed="false">
      <c r="A46" s="4" t="s">
        <v>133</v>
      </c>
      <c r="B46" s="4" t="s">
        <v>52</v>
      </c>
      <c r="C46" s="4" t="s">
        <v>134</v>
      </c>
      <c r="D46" s="4" t="s">
        <v>135</v>
      </c>
      <c r="E46" s="4" t="s">
        <v>136</v>
      </c>
      <c r="F46" s="4" t="s">
        <v>137</v>
      </c>
      <c r="G46" s="4" t="s">
        <v>138</v>
      </c>
      <c r="H46" s="4" t="s">
        <v>82</v>
      </c>
    </row>
    <row r="47" customFormat="false" ht="15" hidden="false" customHeight="false" outlineLevel="0" collapsed="false">
      <c r="A47" s="20" t="n">
        <v>1</v>
      </c>
      <c r="B47" s="20" t="n">
        <f aca="false">B8</f>
        <v>175</v>
      </c>
      <c r="C47" s="7" t="n">
        <f aca="false">IF($B$8=0,0,B47*($B$23/$B$8))</f>
        <v>16325</v>
      </c>
      <c r="D47" s="7" t="n">
        <f aca="false">B47*$B$10*$B$11*$B$12</f>
        <v>1567.125</v>
      </c>
      <c r="E47" s="7" t="n">
        <f aca="false">C47+D47</f>
        <v>17892.125</v>
      </c>
      <c r="F47" s="7" t="n">
        <f aca="false">IF($B$8=0,0,B47*($B$34/$B$8))</f>
        <v>859.25</v>
      </c>
      <c r="G47" s="7" t="n">
        <f aca="false">$B$35</f>
        <v>0</v>
      </c>
      <c r="H47" s="7" t="n">
        <f aca="false">E47-F47-G47</f>
        <v>17032.875</v>
      </c>
    </row>
    <row r="48" customFormat="false" ht="15" hidden="false" customHeight="false" outlineLevel="0" collapsed="false">
      <c r="A48" s="21" t="n">
        <v>2</v>
      </c>
      <c r="B48" s="21" t="n">
        <f aca="false">ROUND(B47*(1+$B$44),0)</f>
        <v>193</v>
      </c>
      <c r="C48" s="10" t="n">
        <f aca="false">IF($B$8=0,0,B48*($B$23/$B$8))</f>
        <v>18004.1428571429</v>
      </c>
      <c r="D48" s="10" t="n">
        <f aca="false">B48*$B$10*$B$11*$B$12</f>
        <v>1728.315</v>
      </c>
      <c r="E48" s="10" t="n">
        <f aca="false">C48+D48</f>
        <v>19732.4578571429</v>
      </c>
      <c r="F48" s="10" t="n">
        <f aca="false">IF($B$8=0,0,B48*($B$34/$B$8))</f>
        <v>947.63</v>
      </c>
      <c r="G48" s="10" t="n">
        <f aca="false">$B$35</f>
        <v>0</v>
      </c>
      <c r="H48" s="10" t="n">
        <f aca="false">E48-F48-G48</f>
        <v>18784.8278571429</v>
      </c>
    </row>
    <row r="49" customFormat="false" ht="15" hidden="false" customHeight="false" outlineLevel="0" collapsed="false">
      <c r="A49" s="20" t="n">
        <v>3</v>
      </c>
      <c r="B49" s="20" t="n">
        <f aca="false">ROUND(B48*(1+$B$44),0)</f>
        <v>212</v>
      </c>
      <c r="C49" s="7" t="n">
        <f aca="false">IF($B$8=0,0,B49*($B$23/$B$8))</f>
        <v>19776.5714285714</v>
      </c>
      <c r="D49" s="7" t="n">
        <f aca="false">B49*$B$10*$B$11*$B$12</f>
        <v>1898.46</v>
      </c>
      <c r="E49" s="7" t="n">
        <f aca="false">C49+D49</f>
        <v>21675.0314285714</v>
      </c>
      <c r="F49" s="7" t="n">
        <f aca="false">IF($B$8=0,0,B49*($B$34/$B$8))</f>
        <v>1040.92</v>
      </c>
      <c r="G49" s="7" t="n">
        <f aca="false">$B$35</f>
        <v>0</v>
      </c>
      <c r="H49" s="7" t="n">
        <f aca="false">E49-F49-G49</f>
        <v>20634.1114285714</v>
      </c>
    </row>
    <row r="50" customFormat="false" ht="15" hidden="false" customHeight="false" outlineLevel="0" collapsed="false">
      <c r="A50" s="21" t="n">
        <v>4</v>
      </c>
      <c r="B50" s="21" t="n">
        <f aca="false">ROUND(B49*(1+$B$44),0)</f>
        <v>233</v>
      </c>
      <c r="C50" s="10" t="n">
        <f aca="false">IF($B$8=0,0,B50*($B$23/$B$8))</f>
        <v>21735.5714285714</v>
      </c>
      <c r="D50" s="10" t="n">
        <f aca="false">B50*$B$10*$B$11*$B$12</f>
        <v>2086.515</v>
      </c>
      <c r="E50" s="10" t="n">
        <f aca="false">C50+D50</f>
        <v>23822.0864285714</v>
      </c>
      <c r="F50" s="10" t="n">
        <f aca="false">IF($B$8=0,0,B50*($B$34/$B$8))</f>
        <v>1144.03</v>
      </c>
      <c r="G50" s="10" t="n">
        <f aca="false">$B$35</f>
        <v>0</v>
      </c>
      <c r="H50" s="10" t="n">
        <f aca="false">E50-F50-G50</f>
        <v>22678.0564285714</v>
      </c>
    </row>
    <row r="51" customFormat="false" ht="15" hidden="false" customHeight="false" outlineLevel="0" collapsed="false">
      <c r="A51" s="20" t="n">
        <v>5</v>
      </c>
      <c r="B51" s="20" t="n">
        <f aca="false">ROUND(B50*(1+$B$44),0)</f>
        <v>256</v>
      </c>
      <c r="C51" s="7" t="n">
        <f aca="false">IF($B$8=0,0,B51*($B$23/$B$8))</f>
        <v>23881.1428571429</v>
      </c>
      <c r="D51" s="7" t="n">
        <f aca="false">B51*$B$10*$B$11*$B$12</f>
        <v>2292.48</v>
      </c>
      <c r="E51" s="7" t="n">
        <f aca="false">C51+D51</f>
        <v>26173.6228571429</v>
      </c>
      <c r="F51" s="7" t="n">
        <f aca="false">IF($B$8=0,0,B51*($B$34/$B$8))</f>
        <v>1256.96</v>
      </c>
      <c r="G51" s="7" t="n">
        <f aca="false">$B$35</f>
        <v>0</v>
      </c>
      <c r="H51" s="7" t="n">
        <f aca="false">E51-F51-G51</f>
        <v>24916.6628571429</v>
      </c>
    </row>
    <row r="52" customFormat="false" ht="15" hidden="false" customHeight="false" outlineLevel="0" collapsed="false">
      <c r="A52" s="21" t="n">
        <v>6</v>
      </c>
      <c r="B52" s="21" t="n">
        <f aca="false">ROUND(B51*(1+$B$44),0)</f>
        <v>282</v>
      </c>
      <c r="C52" s="10" t="n">
        <f aca="false">IF($B$8=0,0,B52*($B$23/$B$8))</f>
        <v>26306.5714285714</v>
      </c>
      <c r="D52" s="10" t="n">
        <f aca="false">B52*$B$10*$B$11*$B$12</f>
        <v>2525.31</v>
      </c>
      <c r="E52" s="10" t="n">
        <f aca="false">C52+D52</f>
        <v>28831.8814285714</v>
      </c>
      <c r="F52" s="10" t="n">
        <f aca="false">IF($B$8=0,0,B52*($B$34/$B$8))</f>
        <v>1384.62</v>
      </c>
      <c r="G52" s="10" t="n">
        <f aca="false">$B$35</f>
        <v>0</v>
      </c>
      <c r="H52" s="10" t="n">
        <f aca="false">E52-F52-G52</f>
        <v>27447.2614285714</v>
      </c>
    </row>
    <row r="53" customFormat="false" ht="15" hidden="false" customHeight="false" outlineLevel="0" collapsed="false">
      <c r="A53" s="20" t="n">
        <v>7</v>
      </c>
      <c r="B53" s="20" t="n">
        <f aca="false">ROUND(B52*(1+$B$44),0)</f>
        <v>310</v>
      </c>
      <c r="C53" s="7" t="n">
        <f aca="false">IF($B$8=0,0,B53*($B$23/$B$8))</f>
        <v>28918.5714285714</v>
      </c>
      <c r="D53" s="7" t="n">
        <f aca="false">B53*$B$10*$B$11*$B$12</f>
        <v>2776.05</v>
      </c>
      <c r="E53" s="7" t="n">
        <f aca="false">C53+D53</f>
        <v>31694.6214285714</v>
      </c>
      <c r="F53" s="7" t="n">
        <f aca="false">IF($B$8=0,0,B53*($B$34/$B$8))</f>
        <v>1522.1</v>
      </c>
      <c r="G53" s="7" t="n">
        <f aca="false">$B$35</f>
        <v>0</v>
      </c>
      <c r="H53" s="7" t="n">
        <f aca="false">E53-F53-G53</f>
        <v>30172.5214285714</v>
      </c>
    </row>
    <row r="54" customFormat="false" ht="15" hidden="false" customHeight="false" outlineLevel="0" collapsed="false">
      <c r="A54" s="21" t="n">
        <v>8</v>
      </c>
      <c r="B54" s="21" t="n">
        <f aca="false">ROUND(B53*(1+$B$44),0)</f>
        <v>341</v>
      </c>
      <c r="C54" s="10" t="n">
        <f aca="false">IF($B$8=0,0,B54*($B$23/$B$8))</f>
        <v>31810.4285714286</v>
      </c>
      <c r="D54" s="10" t="n">
        <f aca="false">B54*$B$10*$B$11*$B$12</f>
        <v>3053.655</v>
      </c>
      <c r="E54" s="10" t="n">
        <f aca="false">C54+D54</f>
        <v>34864.0835714286</v>
      </c>
      <c r="F54" s="10" t="n">
        <f aca="false">IF($B$8=0,0,B54*($B$34/$B$8))</f>
        <v>1674.31</v>
      </c>
      <c r="G54" s="10" t="n">
        <f aca="false">$B$35</f>
        <v>0</v>
      </c>
      <c r="H54" s="10" t="n">
        <f aca="false">E54-F54-G54</f>
        <v>33189.7735714286</v>
      </c>
    </row>
    <row r="55" customFormat="false" ht="15" hidden="false" customHeight="false" outlineLevel="0" collapsed="false">
      <c r="A55" s="20" t="n">
        <v>9</v>
      </c>
      <c r="B55" s="20" t="n">
        <f aca="false">ROUND(B54*(1+$B$44),0)</f>
        <v>375</v>
      </c>
      <c r="C55" s="7" t="n">
        <f aca="false">IF($B$8=0,0,B55*($B$23/$B$8))</f>
        <v>34982.1428571429</v>
      </c>
      <c r="D55" s="7" t="n">
        <f aca="false">B55*$B$10*$B$11*$B$12</f>
        <v>3358.125</v>
      </c>
      <c r="E55" s="7" t="n">
        <f aca="false">C55+D55</f>
        <v>38340.2678571429</v>
      </c>
      <c r="F55" s="7" t="n">
        <f aca="false">IF($B$8=0,0,B55*($B$34/$B$8))</f>
        <v>1841.25</v>
      </c>
      <c r="G55" s="7" t="n">
        <f aca="false">$B$35</f>
        <v>0</v>
      </c>
      <c r="H55" s="7" t="n">
        <f aca="false">E55-F55-G55</f>
        <v>36499.0178571429</v>
      </c>
    </row>
    <row r="56" customFormat="false" ht="15" hidden="false" customHeight="false" outlineLevel="0" collapsed="false">
      <c r="A56" s="21" t="n">
        <v>10</v>
      </c>
      <c r="B56" s="21" t="n">
        <f aca="false">ROUND(B55*(1+$B$44),0)</f>
        <v>413</v>
      </c>
      <c r="C56" s="10" t="n">
        <f aca="false">IF($B$8=0,0,B56*($B$23/$B$8))</f>
        <v>38527</v>
      </c>
      <c r="D56" s="10" t="n">
        <f aca="false">B56*$B$10*$B$11*$B$12</f>
        <v>3698.415</v>
      </c>
      <c r="E56" s="10" t="n">
        <f aca="false">C56+D56</f>
        <v>42225.415</v>
      </c>
      <c r="F56" s="10" t="n">
        <f aca="false">IF($B$8=0,0,B56*($B$34/$B$8))</f>
        <v>2027.83</v>
      </c>
      <c r="G56" s="10" t="n">
        <f aca="false">$B$35</f>
        <v>0</v>
      </c>
      <c r="H56" s="10" t="n">
        <f aca="false">E56-F56-G56</f>
        <v>40197.585</v>
      </c>
    </row>
    <row r="57" customFormat="false" ht="15" hidden="false" customHeight="false" outlineLevel="0" collapsed="false">
      <c r="A57" s="20" t="n">
        <v>11</v>
      </c>
      <c r="B57" s="20" t="n">
        <f aca="false">ROUND(B56*(1+$B$44),0)</f>
        <v>454</v>
      </c>
      <c r="C57" s="7" t="n">
        <f aca="false">IF($B$8=0,0,B57*($B$23/$B$8))</f>
        <v>42351.7142857143</v>
      </c>
      <c r="D57" s="7" t="n">
        <f aca="false">B57*$B$10*$B$11*$B$12</f>
        <v>4065.57</v>
      </c>
      <c r="E57" s="7" t="n">
        <f aca="false">C57+D57</f>
        <v>46417.2842857143</v>
      </c>
      <c r="F57" s="7" t="n">
        <f aca="false">IF($B$8=0,0,B57*($B$34/$B$8))</f>
        <v>2229.14</v>
      </c>
      <c r="G57" s="7" t="n">
        <f aca="false">$B$35</f>
        <v>0</v>
      </c>
      <c r="H57" s="7" t="n">
        <f aca="false">E57-F57-G57</f>
        <v>44188.1442857143</v>
      </c>
    </row>
    <row r="58" customFormat="false" ht="15" hidden="false" customHeight="false" outlineLevel="0" collapsed="false">
      <c r="A58" s="21" t="n">
        <v>12</v>
      </c>
      <c r="B58" s="21" t="n">
        <f aca="false">ROUND(B57*(1+$B$44),0)</f>
        <v>499</v>
      </c>
      <c r="C58" s="10" t="n">
        <f aca="false">IF($B$8=0,0,B58*($B$23/$B$8))</f>
        <v>46549.5714285714</v>
      </c>
      <c r="D58" s="10" t="n">
        <f aca="false">B58*$B$10*$B$11*$B$12</f>
        <v>4468.545</v>
      </c>
      <c r="E58" s="10" t="n">
        <f aca="false">C58+D58</f>
        <v>51018.1164285714</v>
      </c>
      <c r="F58" s="10" t="n">
        <f aca="false">IF($B$8=0,0,B58*($B$34/$B$8))</f>
        <v>2450.09</v>
      </c>
      <c r="G58" s="10" t="n">
        <f aca="false">$B$35</f>
        <v>0</v>
      </c>
      <c r="H58" s="10" t="n">
        <f aca="false">E58-F58-G58</f>
        <v>48568.0264285714</v>
      </c>
    </row>
    <row r="59" customFormat="false" ht="15" hidden="false" customHeight="false" outlineLevel="0" collapsed="false">
      <c r="A59" s="2" t="s">
        <v>139</v>
      </c>
      <c r="C59" s="19" t="n">
        <f aca="false">SUM(C47:C58)</f>
        <v>349168.428571429</v>
      </c>
      <c r="D59" s="19" t="n">
        <f aca="false">SUM(D47:D58)</f>
        <v>33518.565</v>
      </c>
      <c r="E59" s="19" t="n">
        <f aca="false">SUM(E47:E58)</f>
        <v>382686.993571429</v>
      </c>
      <c r="F59" s="19" t="n">
        <f aca="false">SUM(F47:F58)</f>
        <v>18378.13</v>
      </c>
      <c r="G59" s="19" t="n">
        <f aca="false">SUM(G47:G58)</f>
        <v>0</v>
      </c>
      <c r="H59" s="19" t="n">
        <f aca="false">SUM(H47:H58)</f>
        <v>364308.863571429</v>
      </c>
    </row>
  </sheetData>
  <mergeCells count="5">
    <mergeCell ref="A1:H1"/>
    <mergeCell ref="A3:H3"/>
    <mergeCell ref="A18:H18"/>
    <mergeCell ref="A33:H33"/>
    <mergeCell ref="A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30"/>
    <col collapsed="false" customWidth="true" hidden="false" outlineLevel="0" max="5" min="5" style="0" width="27"/>
    <col collapsed="false" customWidth="true" hidden="false" outlineLevel="0" max="6" min="6" style="0" width="30"/>
    <col collapsed="false" customWidth="true" hidden="false" outlineLevel="0" max="8" min="7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11" t="s">
        <v>140</v>
      </c>
      <c r="B3" s="11"/>
      <c r="C3" s="11"/>
      <c r="D3" s="11"/>
      <c r="E3" s="11"/>
      <c r="F3" s="11"/>
      <c r="G3" s="11"/>
      <c r="H3" s="11"/>
    </row>
    <row r="4" customFormat="false" ht="15" hidden="false" customHeight="false" outlineLevel="0" collapsed="false">
      <c r="A4" s="2" t="s">
        <v>141</v>
      </c>
      <c r="B4" s="13" t="n">
        <v>2000</v>
      </c>
    </row>
    <row r="5" customFormat="false" ht="15" hidden="false" customHeight="false" outlineLevel="0" collapsed="false">
      <c r="A5" s="2" t="s">
        <v>142</v>
      </c>
      <c r="B5" s="13" t="n">
        <v>500</v>
      </c>
    </row>
    <row r="6" customFormat="false" ht="15" hidden="false" customHeight="false" outlineLevel="0" collapsed="false">
      <c r="A6" s="2" t="s">
        <v>143</v>
      </c>
      <c r="B6" s="40" t="n">
        <f aca="false">'Grille Credits'!F15</f>
        <v>0.33</v>
      </c>
    </row>
    <row r="8" customFormat="false" ht="15" hidden="false" customHeight="false" outlineLevel="0" collapsed="false">
      <c r="A8" s="4" t="s">
        <v>3</v>
      </c>
      <c r="B8" s="4" t="s">
        <v>144</v>
      </c>
      <c r="C8" s="4" t="s">
        <v>145</v>
      </c>
      <c r="D8" s="4" t="s">
        <v>99</v>
      </c>
      <c r="E8" s="4" t="s">
        <v>146</v>
      </c>
      <c r="F8" s="4" t="s">
        <v>147</v>
      </c>
    </row>
    <row r="9" customFormat="false" ht="15" hidden="false" customHeight="false" outlineLevel="0" collapsed="false">
      <c r="A9" s="5" t="str">
        <f aca="false">'Catalogue LLM'!B5</f>
        <v>gpt-4o</v>
      </c>
      <c r="B9" s="41" t="n">
        <f aca="false">($B$4/1000000)*'Catalogue LLM'!E5+($B$5/1000000)*'Catalogue LLM'!F5</f>
        <v>0.00925925925925926</v>
      </c>
      <c r="C9" s="42" t="n">
        <f aca="false">'Grille Credits'!$B$4/$B$4</f>
        <v>25</v>
      </c>
      <c r="D9" s="31" t="n">
        <f aca="false">('Grille Credits'!$B$4/1000000)*'Catalogue LLM'!E5+('Grille Credits'!$B$5/1000000)*'Catalogue LLM'!F5</f>
        <v>0.231481481481482</v>
      </c>
      <c r="E9" s="31" t="n">
        <f aca="false">$B$6-D9</f>
        <v>0.0985185185185185</v>
      </c>
      <c r="F9" s="35" t="n">
        <f aca="false">IF($B$6=0,0,E9/$B$6)</f>
        <v>0.298540965207632</v>
      </c>
    </row>
    <row r="10" customFormat="false" ht="15" hidden="false" customHeight="false" outlineLevel="0" collapsed="false">
      <c r="A10" s="8" t="str">
        <f aca="false">'Catalogue LLM'!B6</f>
        <v>gpt-4o-mini</v>
      </c>
      <c r="B10" s="43" t="n">
        <f aca="false">($B$4/1000000)*'Catalogue LLM'!E6+($B$5/1000000)*'Catalogue LLM'!F6</f>
        <v>0.000555555555555555</v>
      </c>
      <c r="C10" s="44" t="n">
        <f aca="false">'Grille Credits'!$B$4/$B$4</f>
        <v>25</v>
      </c>
      <c r="D10" s="27" t="n">
        <f aca="false">('Grille Credits'!$B$4/1000000)*'Catalogue LLM'!E6+('Grille Credits'!$B$5/1000000)*'Catalogue LLM'!F6</f>
        <v>0.0138888888888889</v>
      </c>
      <c r="E10" s="27" t="n">
        <f aca="false">$B$6-D10</f>
        <v>0.316111111111111</v>
      </c>
      <c r="F10" s="34" t="n">
        <f aca="false">IF($B$6=0,0,E10/$B$6)</f>
        <v>0.957912457912458</v>
      </c>
    </row>
    <row r="11" customFormat="false" ht="15" hidden="false" customHeight="false" outlineLevel="0" collapsed="false">
      <c r="A11" s="5" t="str">
        <f aca="false">'Catalogue LLM'!B7</f>
        <v>gpt-4.1</v>
      </c>
      <c r="B11" s="41" t="n">
        <f aca="false">($B$4/1000000)*'Catalogue LLM'!E7+($B$5/1000000)*'Catalogue LLM'!F7</f>
        <v>0.00740740740740741</v>
      </c>
      <c r="C11" s="42" t="n">
        <f aca="false">'Grille Credits'!$B$4/$B$4</f>
        <v>25</v>
      </c>
      <c r="D11" s="31" t="n">
        <f aca="false">('Grille Credits'!$B$4/1000000)*'Catalogue LLM'!E7+('Grille Credits'!$B$5/1000000)*'Catalogue LLM'!F7</f>
        <v>0.185185185185185</v>
      </c>
      <c r="E11" s="31" t="n">
        <f aca="false">$B$6-D11</f>
        <v>0.144814814814815</v>
      </c>
      <c r="F11" s="35" t="n">
        <f aca="false">IF($B$6=0,0,E11/$B$6)</f>
        <v>0.438832772166106</v>
      </c>
    </row>
    <row r="12" customFormat="false" ht="15" hidden="false" customHeight="false" outlineLevel="0" collapsed="false">
      <c r="A12" s="8" t="str">
        <f aca="false">'Catalogue LLM'!B8</f>
        <v>gpt-4.1-mini</v>
      </c>
      <c r="B12" s="43" t="n">
        <f aca="false">($B$4/1000000)*'Catalogue LLM'!E8+($B$5/1000000)*'Catalogue LLM'!F8</f>
        <v>0.00148148148148148</v>
      </c>
      <c r="C12" s="44" t="n">
        <f aca="false">'Grille Credits'!$B$4/$B$4</f>
        <v>25</v>
      </c>
      <c r="D12" s="27" t="n">
        <f aca="false">('Grille Credits'!$B$4/1000000)*'Catalogue LLM'!E8+('Grille Credits'!$B$5/1000000)*'Catalogue LLM'!F8</f>
        <v>0.037037037037037</v>
      </c>
      <c r="E12" s="27" t="n">
        <f aca="false">$B$6-D12</f>
        <v>0.292962962962963</v>
      </c>
      <c r="F12" s="34" t="n">
        <f aca="false">IF($B$6=0,0,E12/$B$6)</f>
        <v>0.887766554433221</v>
      </c>
    </row>
    <row r="13" customFormat="false" ht="15" hidden="false" customHeight="false" outlineLevel="0" collapsed="false">
      <c r="A13" s="5" t="str">
        <f aca="false">'Catalogue LLM'!B9</f>
        <v>gpt-4.1-nano</v>
      </c>
      <c r="B13" s="41" t="n">
        <f aca="false">($B$4/1000000)*'Catalogue LLM'!E9+($B$5/1000000)*'Catalogue LLM'!F9</f>
        <v>0.00037037037037037</v>
      </c>
      <c r="C13" s="42" t="n">
        <f aca="false">'Grille Credits'!$B$4/$B$4</f>
        <v>25</v>
      </c>
      <c r="D13" s="31" t="n">
        <f aca="false">('Grille Credits'!$B$4/1000000)*'Catalogue LLM'!E9+('Grille Credits'!$B$5/1000000)*'Catalogue LLM'!F9</f>
        <v>0.00925925925925926</v>
      </c>
      <c r="E13" s="31" t="n">
        <f aca="false">$B$6-D13</f>
        <v>0.320740740740741</v>
      </c>
      <c r="F13" s="35" t="n">
        <f aca="false">IF($B$6=0,0,E13/$B$6)</f>
        <v>0.971941638608305</v>
      </c>
    </row>
    <row r="14" customFormat="false" ht="15" hidden="false" customHeight="false" outlineLevel="0" collapsed="false">
      <c r="A14" s="8" t="str">
        <f aca="false">'Catalogue LLM'!B10</f>
        <v>o3</v>
      </c>
      <c r="B14" s="43" t="n">
        <f aca="false">($B$4/1000000)*'Catalogue LLM'!E10+($B$5/1000000)*'Catalogue LLM'!F10</f>
        <v>0.00740740740740741</v>
      </c>
      <c r="C14" s="44" t="n">
        <f aca="false">'Grille Credits'!$B$4/$B$4</f>
        <v>25</v>
      </c>
      <c r="D14" s="27" t="n">
        <f aca="false">('Grille Credits'!$B$4/1000000)*'Catalogue LLM'!E10+('Grille Credits'!$B$5/1000000)*'Catalogue LLM'!F10</f>
        <v>0.185185185185185</v>
      </c>
      <c r="E14" s="27" t="n">
        <f aca="false">$B$6-D14</f>
        <v>0.144814814814815</v>
      </c>
      <c r="F14" s="34" t="n">
        <f aca="false">IF($B$6=0,0,E14/$B$6)</f>
        <v>0.438832772166106</v>
      </c>
    </row>
    <row r="15" customFormat="false" ht="15" hidden="false" customHeight="false" outlineLevel="0" collapsed="false">
      <c r="A15" s="5" t="str">
        <f aca="false">'Catalogue LLM'!B11</f>
        <v>o4-mini</v>
      </c>
      <c r="B15" s="41" t="n">
        <f aca="false">($B$4/1000000)*'Catalogue LLM'!E11+($B$5/1000000)*'Catalogue LLM'!F11</f>
        <v>0.00407407407407408</v>
      </c>
      <c r="C15" s="42" t="n">
        <f aca="false">'Grille Credits'!$B$4/$B$4</f>
        <v>25</v>
      </c>
      <c r="D15" s="31" t="n">
        <f aca="false">('Grille Credits'!$B$4/1000000)*'Catalogue LLM'!E11+('Grille Credits'!$B$5/1000000)*'Catalogue LLM'!F11</f>
        <v>0.101851851851852</v>
      </c>
      <c r="E15" s="31" t="n">
        <f aca="false">$B$6-D15</f>
        <v>0.228148148148148</v>
      </c>
      <c r="F15" s="35" t="n">
        <f aca="false">IF($B$6=0,0,E15/$B$6)</f>
        <v>0.691358024691358</v>
      </c>
    </row>
    <row r="16" customFormat="false" ht="15" hidden="false" customHeight="false" outlineLevel="0" collapsed="false">
      <c r="A16" s="8" t="str">
        <f aca="false">'Catalogue LLM'!B12</f>
        <v>claude-sonnet-4</v>
      </c>
      <c r="B16" s="43" t="n">
        <f aca="false">($B$4/1000000)*'Catalogue LLM'!E12+($B$5/1000000)*'Catalogue LLM'!F12</f>
        <v>0.0125</v>
      </c>
      <c r="C16" s="44" t="n">
        <f aca="false">'Grille Credits'!$B$4/$B$4</f>
        <v>25</v>
      </c>
      <c r="D16" s="27" t="n">
        <f aca="false">('Grille Credits'!$B$4/1000000)*'Catalogue LLM'!E12+('Grille Credits'!$B$5/1000000)*'Catalogue LLM'!F12</f>
        <v>0.3125</v>
      </c>
      <c r="E16" s="27" t="n">
        <f aca="false">$B$6-D16</f>
        <v>0.0175</v>
      </c>
      <c r="F16" s="34" t="n">
        <f aca="false">IF($B$6=0,0,E16/$B$6)</f>
        <v>0.0530303030303031</v>
      </c>
    </row>
    <row r="17" customFormat="false" ht="15" hidden="false" customHeight="false" outlineLevel="0" collapsed="false">
      <c r="A17" s="5" t="str">
        <f aca="false">'Catalogue LLM'!B13</f>
        <v>claude-haiku-3.5</v>
      </c>
      <c r="B17" s="41" t="n">
        <f aca="false">($B$4/1000000)*'Catalogue LLM'!E13+($B$5/1000000)*'Catalogue LLM'!F13</f>
        <v>0.00333333333333333</v>
      </c>
      <c r="C17" s="42" t="n">
        <f aca="false">'Grille Credits'!$B$4/$B$4</f>
        <v>25</v>
      </c>
      <c r="D17" s="31" t="n">
        <f aca="false">('Grille Credits'!$B$4/1000000)*'Catalogue LLM'!E13+('Grille Credits'!$B$5/1000000)*'Catalogue LLM'!F13</f>
        <v>0.0833333333333333</v>
      </c>
      <c r="E17" s="31" t="n">
        <f aca="false">$B$6-D17</f>
        <v>0.246666666666667</v>
      </c>
      <c r="F17" s="35" t="n">
        <f aca="false">IF($B$6=0,0,E17/$B$6)</f>
        <v>0.747474747474748</v>
      </c>
    </row>
  </sheetData>
  <mergeCells count="2">
    <mergeCell ref="A1:H1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2026-03-18T14:20:58Z</dcterms:created>
  <dc:creator>openpyxl</dc:creator>
  <dc:description/>
  <dc:language>fr-FR</dc:language>
  <cp:lastModifiedBy/>
  <dcterms:modified xsi:type="dcterms:W3CDTF">2026-03-18T14:20:58Z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