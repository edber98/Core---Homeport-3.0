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douardbernier/Documents/Projets/i55/Projet/Core 2.0/Application/Homeport 1.0/Simulator consultant/"/>
    </mc:Choice>
  </mc:AlternateContent>
  <xr:revisionPtr revIDLastSave="0" documentId="13_ncr:1_{89418CDA-C833-BA4A-B929-E2CB537129F1}" xr6:coauthVersionLast="47" xr6:coauthVersionMax="47" xr10:uidLastSave="{00000000-0000-0000-0000-000000000000}"/>
  <bookViews>
    <workbookView xWindow="-76800" yWindow="-1980" windowWidth="38400" windowHeight="20180" tabRatio="500" activeTab="5" xr2:uid="{00000000-000D-0000-FFFF-FFFF00000000}"/>
  </bookViews>
  <sheets>
    <sheet name="Catalogue LLM" sheetId="1" r:id="rId1"/>
    <sheet name="Cout reel IA" sheetId="2" r:id="rId2"/>
    <sheet name="Execution" sheetId="3" r:id="rId3"/>
    <sheet name="Credits Kinn" sheetId="4" r:id="rId4"/>
    <sheet name="AWS Infrastructure" sheetId="5" r:id="rId5"/>
    <sheet name="Offres" sheetId="6" r:id="rId6"/>
    <sheet name="Benchmark Concurrents" sheetId="7" r:id="rId7"/>
    <sheet name="Projecti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6" i="2"/>
  <c r="B14" i="2" s="1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C22" i="7"/>
  <c r="B22" i="7"/>
  <c r="C21" i="7"/>
  <c r="B21" i="7"/>
  <c r="B20" i="7"/>
  <c r="B35" i="6"/>
  <c r="G34" i="6"/>
  <c r="F34" i="6"/>
  <c r="E34" i="6"/>
  <c r="D34" i="6"/>
  <c r="C34" i="6"/>
  <c r="B34" i="6"/>
  <c r="G32" i="6"/>
  <c r="F32" i="6"/>
  <c r="E32" i="6"/>
  <c r="D32" i="6"/>
  <c r="C32" i="6"/>
  <c r="B32" i="6"/>
  <c r="G26" i="6"/>
  <c r="F26" i="6"/>
  <c r="G25" i="6"/>
  <c r="F25" i="6"/>
  <c r="G24" i="6"/>
  <c r="F24" i="6"/>
  <c r="G21" i="6"/>
  <c r="F21" i="6"/>
  <c r="G20" i="6"/>
  <c r="F20" i="6"/>
  <c r="E20" i="6"/>
  <c r="G19" i="6"/>
  <c r="F19" i="6"/>
  <c r="E19" i="6"/>
  <c r="G16" i="6"/>
  <c r="F16" i="6"/>
  <c r="G15" i="6"/>
  <c r="F15" i="6"/>
  <c r="G14" i="6"/>
  <c r="F14" i="6"/>
  <c r="E14" i="6"/>
  <c r="E15" i="6" s="1"/>
  <c r="E16" i="6" s="1"/>
  <c r="G13" i="6"/>
  <c r="F13" i="6"/>
  <c r="E13" i="6"/>
  <c r="F34" i="5"/>
  <c r="K34" i="5" s="1"/>
  <c r="F33" i="5"/>
  <c r="K33" i="5" s="1"/>
  <c r="F32" i="5"/>
  <c r="L32" i="5" s="1"/>
  <c r="F31" i="5"/>
  <c r="L31" i="5" s="1"/>
  <c r="F30" i="5"/>
  <c r="L30" i="5" s="1"/>
  <c r="E30" i="5"/>
  <c r="F29" i="5"/>
  <c r="K29" i="5" s="1"/>
  <c r="F28" i="5"/>
  <c r="K28" i="5" s="1"/>
  <c r="F27" i="5"/>
  <c r="K27" i="5" s="1"/>
  <c r="F26" i="5"/>
  <c r="L26" i="5" s="1"/>
  <c r="F25" i="5"/>
  <c r="G25" i="5" s="1"/>
  <c r="E25" i="5"/>
  <c r="F24" i="5"/>
  <c r="L24" i="5" s="1"/>
  <c r="F23" i="5"/>
  <c r="K23" i="5" s="1"/>
  <c r="F22" i="5"/>
  <c r="K22" i="5" s="1"/>
  <c r="B13" i="5"/>
  <c r="B10" i="5"/>
  <c r="E31" i="5" s="1"/>
  <c r="G31" i="5" s="1"/>
  <c r="B5" i="4"/>
  <c r="B6" i="4" s="1"/>
  <c r="B7" i="4" s="1"/>
  <c r="B13" i="3"/>
  <c r="B8" i="3"/>
  <c r="B12" i="3" s="1"/>
  <c r="B14" i="3" s="1"/>
  <c r="C29" i="2"/>
  <c r="B29" i="2"/>
  <c r="D29" i="2" s="1"/>
  <c r="E29" i="2" s="1"/>
  <c r="E26" i="2"/>
  <c r="D26" i="2"/>
  <c r="C26" i="2"/>
  <c r="B26" i="2"/>
  <c r="C24" i="2"/>
  <c r="B24" i="2"/>
  <c r="D24" i="2" s="1"/>
  <c r="E24" i="2" s="1"/>
  <c r="C23" i="2"/>
  <c r="B23" i="2"/>
  <c r="D23" i="2" s="1"/>
  <c r="E23" i="2" s="1"/>
  <c r="B13" i="2"/>
  <c r="D22" i="1"/>
  <c r="C22" i="1"/>
  <c r="D21" i="1"/>
  <c r="C21" i="1"/>
  <c r="D20" i="1"/>
  <c r="C20" i="1"/>
  <c r="D19" i="1"/>
  <c r="C19" i="1"/>
  <c r="D18" i="1"/>
  <c r="C28" i="2" s="1"/>
  <c r="C18" i="1"/>
  <c r="B28" i="2" s="1"/>
  <c r="D28" i="2" s="1"/>
  <c r="E28" i="2" s="1"/>
  <c r="D17" i="1"/>
  <c r="C27" i="2" s="1"/>
  <c r="C17" i="1"/>
  <c r="B27" i="2" s="1"/>
  <c r="D27" i="2" s="1"/>
  <c r="E27" i="2" s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25" i="2" s="1"/>
  <c r="C6" i="1"/>
  <c r="B25" i="2" s="1"/>
  <c r="D25" i="2" s="1"/>
  <c r="E25" i="2" s="1"/>
  <c r="D5" i="1"/>
  <c r="C5" i="1"/>
  <c r="D4" i="1"/>
  <c r="C4" i="1"/>
  <c r="E21" i="6" l="1"/>
  <c r="E24" i="6" s="1"/>
  <c r="E25" i="6" s="1"/>
  <c r="E26" i="6"/>
  <c r="K25" i="5"/>
  <c r="L25" i="5"/>
  <c r="L22" i="5"/>
  <c r="L27" i="5"/>
  <c r="K24" i="5"/>
  <c r="B15" i="2"/>
  <c r="D25" i="4"/>
  <c r="D27" i="4"/>
  <c r="B20" i="6"/>
  <c r="B13" i="6"/>
  <c r="D23" i="4"/>
  <c r="D24" i="4"/>
  <c r="B13" i="4"/>
  <c r="B12" i="4"/>
  <c r="D20" i="6"/>
  <c r="D13" i="6"/>
  <c r="D26" i="4"/>
  <c r="C20" i="6"/>
  <c r="C13" i="6"/>
  <c r="G33" i="5"/>
  <c r="G24" i="5"/>
  <c r="D21" i="7"/>
  <c r="E21" i="7" s="1"/>
  <c r="B16" i="4"/>
  <c r="B17" i="4" s="1"/>
  <c r="D20" i="7"/>
  <c r="E20" i="7" s="1"/>
  <c r="B19" i="2"/>
  <c r="D22" i="7"/>
  <c r="E22" i="7" s="1"/>
  <c r="G28" i="5"/>
  <c r="B27" i="3"/>
  <c r="B22" i="3"/>
  <c r="B18" i="4"/>
  <c r="B19" i="4" s="1"/>
  <c r="C26" i="3"/>
  <c r="B18" i="3"/>
  <c r="B26" i="3"/>
  <c r="C19" i="6"/>
  <c r="C25" i="3"/>
  <c r="D19" i="6"/>
  <c r="D21" i="6" s="1"/>
  <c r="B23" i="3"/>
  <c r="B19" i="6"/>
  <c r="B25" i="3"/>
  <c r="C24" i="3"/>
  <c r="B24" i="3"/>
  <c r="C23" i="3"/>
  <c r="C27" i="3"/>
  <c r="C22" i="3"/>
  <c r="L29" i="5"/>
  <c r="L34" i="5"/>
  <c r="B14" i="5"/>
  <c r="B18" i="5" s="1"/>
  <c r="L23" i="5"/>
  <c r="L28" i="5"/>
  <c r="L33" i="5"/>
  <c r="B15" i="5"/>
  <c r="E24" i="5"/>
  <c r="E29" i="5"/>
  <c r="G29" i="5" s="1"/>
  <c r="G30" i="5"/>
  <c r="K32" i="5"/>
  <c r="E34" i="5"/>
  <c r="G34" i="5" s="1"/>
  <c r="B16" i="5"/>
  <c r="B17" i="5"/>
  <c r="E23" i="5"/>
  <c r="G23" i="5" s="1"/>
  <c r="K26" i="5"/>
  <c r="E28" i="5"/>
  <c r="K31" i="5"/>
  <c r="E33" i="5"/>
  <c r="E22" i="5"/>
  <c r="G22" i="5" s="1"/>
  <c r="E27" i="5"/>
  <c r="G27" i="5" s="1"/>
  <c r="K30" i="5"/>
  <c r="E32" i="5"/>
  <c r="G32" i="5" s="1"/>
  <c r="E26" i="5"/>
  <c r="G26" i="5" s="1"/>
  <c r="C21" i="6" l="1"/>
  <c r="B21" i="6"/>
  <c r="B39" i="6" s="1"/>
  <c r="D4" i="8" s="1"/>
  <c r="H33" i="5"/>
  <c r="H28" i="5"/>
  <c r="H23" i="5"/>
  <c r="I23" i="5" s="1"/>
  <c r="H34" i="5"/>
  <c r="I34" i="5" s="1"/>
  <c r="H29" i="5"/>
  <c r="I29" i="5" s="1"/>
  <c r="H24" i="5"/>
  <c r="I24" i="5" s="1"/>
  <c r="H30" i="5"/>
  <c r="I30" i="5" s="1"/>
  <c r="H25" i="5"/>
  <c r="I25" i="5" s="1"/>
  <c r="H31" i="5"/>
  <c r="I31" i="5" s="1"/>
  <c r="H26" i="5"/>
  <c r="H32" i="5"/>
  <c r="H27" i="5"/>
  <c r="H22" i="5"/>
  <c r="I28" i="5"/>
  <c r="D14" i="6"/>
  <c r="C14" i="6"/>
  <c r="C15" i="6" s="1"/>
  <c r="C16" i="6" s="1"/>
  <c r="C25" i="4"/>
  <c r="E25" i="4" s="1"/>
  <c r="F25" i="4" s="1"/>
  <c r="C27" i="4"/>
  <c r="E27" i="4" s="1"/>
  <c r="F27" i="4" s="1"/>
  <c r="B14" i="6"/>
  <c r="C24" i="4"/>
  <c r="E24" i="4" s="1"/>
  <c r="F24" i="4" s="1"/>
  <c r="C26" i="4"/>
  <c r="E26" i="4" s="1"/>
  <c r="F26" i="4" s="1"/>
  <c r="C23" i="4"/>
  <c r="E23" i="4" s="1"/>
  <c r="F23" i="4" s="1"/>
  <c r="I27" i="5"/>
  <c r="I26" i="5"/>
  <c r="D15" i="6"/>
  <c r="D16" i="6" s="1"/>
  <c r="I32" i="5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I33" i="5"/>
  <c r="I22" i="5"/>
  <c r="B15" i="6"/>
  <c r="B16" i="6" s="1"/>
  <c r="B23" i="7"/>
  <c r="J30" i="5" l="1"/>
  <c r="C16" i="8"/>
  <c r="C26" i="6"/>
  <c r="C23" i="7" s="1"/>
  <c r="E23" i="7" s="1"/>
  <c r="C24" i="6"/>
  <c r="C25" i="6" s="1"/>
  <c r="J24" i="5"/>
  <c r="C10" i="8"/>
  <c r="C15" i="8"/>
  <c r="E15" i="8" s="1"/>
  <c r="I15" i="8" s="1"/>
  <c r="J29" i="5"/>
  <c r="J34" i="5"/>
  <c r="C20" i="8"/>
  <c r="C9" i="8"/>
  <c r="J23" i="5"/>
  <c r="B26" i="6"/>
  <c r="B38" i="6"/>
  <c r="B24" i="6"/>
  <c r="B25" i="6" s="1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J32" i="5"/>
  <c r="C18" i="8"/>
  <c r="C8" i="8"/>
  <c r="J22" i="5"/>
  <c r="D26" i="6"/>
  <c r="D24" i="6"/>
  <c r="D25" i="6" s="1"/>
  <c r="C14" i="8"/>
  <c r="E14" i="8" s="1"/>
  <c r="I14" i="8" s="1"/>
  <c r="J28" i="5"/>
  <c r="C13" i="8"/>
  <c r="E13" i="8" s="1"/>
  <c r="I13" i="8" s="1"/>
  <c r="J27" i="5"/>
  <c r="B40" i="6"/>
  <c r="J26" i="5"/>
  <c r="C12" i="8"/>
  <c r="J31" i="5"/>
  <c r="C17" i="8"/>
  <c r="C19" i="8"/>
  <c r="J33" i="5"/>
  <c r="J25" i="5"/>
  <c r="C11" i="8"/>
  <c r="E11" i="8" s="1"/>
  <c r="I11" i="8" s="1"/>
  <c r="E18" i="8" l="1"/>
  <c r="I18" i="8" s="1"/>
  <c r="E20" i="8"/>
  <c r="I20" i="8" s="1"/>
  <c r="E10" i="8"/>
  <c r="I10" i="8" s="1"/>
  <c r="B4" i="8"/>
  <c r="B43" i="6"/>
  <c r="B41" i="6"/>
  <c r="B44" i="6"/>
  <c r="E19" i="8"/>
  <c r="I19" i="8" s="1"/>
  <c r="E16" i="8"/>
  <c r="I16" i="8" s="1"/>
  <c r="E17" i="8"/>
  <c r="I17" i="8" s="1"/>
  <c r="E12" i="8"/>
  <c r="I12" i="8" s="1"/>
  <c r="E8" i="8"/>
  <c r="I8" i="8" s="1"/>
  <c r="E9" i="8"/>
  <c r="I9" i="8" s="1"/>
  <c r="B48" i="6" l="1"/>
  <c r="B45" i="6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H14" i="8" l="1"/>
  <c r="F14" i="8"/>
  <c r="G14" i="8" s="1"/>
  <c r="H16" i="8"/>
  <c r="F16" i="8"/>
  <c r="G16" i="8" s="1"/>
  <c r="H18" i="8"/>
  <c r="F18" i="8"/>
  <c r="G18" i="8" s="1"/>
  <c r="H19" i="8"/>
  <c r="F19" i="8"/>
  <c r="G19" i="8" s="1"/>
  <c r="H10" i="8"/>
  <c r="F10" i="8"/>
  <c r="G10" i="8" s="1"/>
  <c r="H11" i="8"/>
  <c r="F11" i="8"/>
  <c r="G11" i="8" s="1"/>
  <c r="H13" i="8"/>
  <c r="F13" i="8"/>
  <c r="G13" i="8" s="1"/>
  <c r="H15" i="8"/>
  <c r="F15" i="8"/>
  <c r="G15" i="8" s="1"/>
  <c r="H17" i="8"/>
  <c r="F17" i="8"/>
  <c r="G17" i="8" s="1"/>
  <c r="H8" i="8"/>
  <c r="F8" i="8"/>
  <c r="G8" i="8" s="1"/>
  <c r="H9" i="8"/>
  <c r="F9" i="8"/>
  <c r="G9" i="8" s="1"/>
  <c r="H20" i="8"/>
  <c r="F20" i="8"/>
  <c r="G20" i="8" s="1"/>
  <c r="B46" i="6"/>
  <c r="B49" i="6"/>
  <c r="H12" i="8"/>
  <c r="F12" i="8"/>
  <c r="G12" i="8" s="1"/>
</calcChain>
</file>

<file path=xl/sharedStrings.xml><?xml version="1.0" encoding="utf-8"?>
<sst xmlns="http://schemas.openxmlformats.org/spreadsheetml/2006/main" count="286" uniqueCount="230">
  <si>
    <t>C4RBON GROUP - Catalogue des modeles LLM</t>
  </si>
  <si>
    <t>Taux USD/EUR</t>
  </si>
  <si>
    <t>Fournisseur</t>
  </si>
  <si>
    <t>Modele</t>
  </si>
  <si>
    <t>Input EUR/1M tokens</t>
  </si>
  <si>
    <t>Output EUR/1M tokens</t>
  </si>
  <si>
    <t>Contexte</t>
  </si>
  <si>
    <t>Notes</t>
  </si>
  <si>
    <t>OpenAI</t>
  </si>
  <si>
    <t>gpt-5.4</t>
  </si>
  <si>
    <t>gpt-5.4-pro</t>
  </si>
  <si>
    <t>Reasoning</t>
  </si>
  <si>
    <t>gpt-5.2</t>
  </si>
  <si>
    <t>gpt-5.1</t>
  </si>
  <si>
    <t>gpt-5</t>
  </si>
  <si>
    <t>gpt-5-mini</t>
  </si>
  <si>
    <t>Recommande</t>
  </si>
  <si>
    <t>gpt-5-nano</t>
  </si>
  <si>
    <t>Ultra-leger</t>
  </si>
  <si>
    <t>gpt-4.1</t>
  </si>
  <si>
    <t>1M contexte</t>
  </si>
  <si>
    <t>gpt-4.1-mini</t>
  </si>
  <si>
    <t>gpt-4.1-nano</t>
  </si>
  <si>
    <t>o3</t>
  </si>
  <si>
    <t>o3-pro</t>
  </si>
  <si>
    <t>Reasoning avance</t>
  </si>
  <si>
    <t>Anthropic</t>
  </si>
  <si>
    <t>claude-opus-4.6</t>
  </si>
  <si>
    <t>claude-sonnet-4.6</t>
  </si>
  <si>
    <t>claude-haiku-4.5</t>
  </si>
  <si>
    <t>Leger</t>
  </si>
  <si>
    <t>claude-sonnet-4.5</t>
  </si>
  <si>
    <t>claude-opus-4.5</t>
  </si>
  <si>
    <t>Google</t>
  </si>
  <si>
    <t>gemini-2.5-pro</t>
  </si>
  <si>
    <t>gemini-2.5-flash</t>
  </si>
  <si>
    <t>C4RBON GROUP - Cout reel des appels IA</t>
  </si>
  <si>
    <t>A. Parametres modele par defaut</t>
  </si>
  <si>
    <t>Modele par defaut</t>
  </si>
  <si>
    <t>B. Profil utilisation type (par requete)</t>
  </si>
  <si>
    <t>Tokens input moyens</t>
  </si>
  <si>
    <t>Tokens output moyens</t>
  </si>
  <si>
    <t>C. Cout par requete IA (EUR)</t>
  </si>
  <si>
    <t>Cout input</t>
  </si>
  <si>
    <t>Cout output</t>
  </si>
  <si>
    <t>Cout total par requete</t>
  </si>
  <si>
    <t>D. Volume mensuel par client</t>
  </si>
  <si>
    <t>Requetes IA / client / mois</t>
  </si>
  <si>
    <t>Cout IA mensuel / client (EUR)</t>
  </si>
  <si>
    <t>E. Grille par modele</t>
  </si>
  <si>
    <t>Input EUR/1M</t>
  </si>
  <si>
    <t>Output EUR/1M</t>
  </si>
  <si>
    <t>Cout/requete EUR</t>
  </si>
  <si>
    <t>Mensuel/client EUR</t>
  </si>
  <si>
    <t>C4RBON GROUP - Cout d'execution des workflows</t>
  </si>
  <si>
    <t>A. Parametres d'execution</t>
  </si>
  <si>
    <t>Duree moyenne execution (s)</t>
  </si>
  <si>
    <t>CPU par execution (vCPU)</t>
  </si>
  <si>
    <t>RAM par execution (MiB)</t>
  </si>
  <si>
    <t>Instance de reference</t>
  </si>
  <si>
    <t>t4g.medium</t>
  </si>
  <si>
    <t>Prix instance EUR/h</t>
  </si>
  <si>
    <t>vCPU instance</t>
  </si>
  <si>
    <t>B. Calcul cout par execution (EUR)</t>
  </si>
  <si>
    <t>Cout instance par seconde</t>
  </si>
  <si>
    <t>Part CPU utilisee</t>
  </si>
  <si>
    <t>Cout par execution</t>
  </si>
  <si>
    <t>C. Volume mensuel par client</t>
  </si>
  <si>
    <t>Exec / client / mois</t>
  </si>
  <si>
    <t>Cout exec / client / mois (EUR)</t>
  </si>
  <si>
    <t>D. Grille par volume</t>
  </si>
  <si>
    <t>Executions/mois</t>
  </si>
  <si>
    <t>Cout total EUR</t>
  </si>
  <si>
    <t>Cout/execution EUR</t>
  </si>
  <si>
    <t>C4RBON GROUP - Systeme de credits Kinn</t>
  </si>
  <si>
    <t>A. Definition du credit Kinn</t>
  </si>
  <si>
    <t>Credits par dollar (ref)</t>
  </si>
  <si>
    <t>Credits par EUR effectif</t>
  </si>
  <si>
    <t>Cout reel 1 credit (EUR)</t>
  </si>
  <si>
    <t>B. Tarification credits</t>
  </si>
  <si>
    <t>Marge pay-as-you-go</t>
  </si>
  <si>
    <t>Marge abonnement</t>
  </si>
  <si>
    <t>Prix 1 cr pay-as-you-go (EUR)</t>
  </si>
  <si>
    <t>Prix 1 cr abonnement (EUR)</t>
  </si>
  <si>
    <t>C. Equivalence credits</t>
  </si>
  <si>
    <t>Cout 1 requete IA (EUR)</t>
  </si>
  <si>
    <t>Credits par requete IA</t>
  </si>
  <si>
    <t>Cout 1 execution (EUR)</t>
  </si>
  <si>
    <t>Credits par execution</t>
  </si>
  <si>
    <t>D. Packs pay-as-you-go</t>
  </si>
  <si>
    <t>Pack</t>
  </si>
  <si>
    <t>Credits</t>
  </si>
  <si>
    <t>Prix vente EUR</t>
  </si>
  <si>
    <t>Cout reel EUR</t>
  </si>
  <si>
    <t>Marge EUR</t>
  </si>
  <si>
    <t>Marge %</t>
  </si>
  <si>
    <t>Decouverte</t>
  </si>
  <si>
    <t>Standard</t>
  </si>
  <si>
    <t>Pro</t>
  </si>
  <si>
    <t>Business</t>
  </si>
  <si>
    <t>Enterprise</t>
  </si>
  <si>
    <t>C4RBON GROUP - Cout infrastructure AWS K8s</t>
  </si>
  <si>
    <t>A. Parametres Kubernetes</t>
  </si>
  <si>
    <t>Overhead CPU K8s (vCPU)</t>
  </si>
  <si>
    <t>Overhead RAM K8s (MiB)</t>
  </si>
  <si>
    <t>CPU idle par client (vCPU)</t>
  </si>
  <si>
    <t>RAM idle par client (MiB)</t>
  </si>
  <si>
    <t>Marge CPU securite</t>
  </si>
  <si>
    <t>Marge RAM securite</t>
  </si>
  <si>
    <t>B. Couts fixes mensuels (EUR)</t>
  </si>
  <si>
    <t>Control plane EKS</t>
  </si>
  <si>
    <t>ALB</t>
  </si>
  <si>
    <t>NAT Gateway</t>
  </si>
  <si>
    <t>EBS stockage</t>
  </si>
  <si>
    <t>Monitoring</t>
  </si>
  <si>
    <t>Total fixe EUR/mois</t>
  </si>
  <si>
    <t>C. Scaling par nombre de clients</t>
  </si>
  <si>
    <t>Clients</t>
  </si>
  <si>
    <t>Instance</t>
  </si>
  <si>
    <t>vCPU</t>
  </si>
  <si>
    <t>RAM GiB</t>
  </si>
  <si>
    <t>Prix EUR/h</t>
  </si>
  <si>
    <t>Workers</t>
  </si>
  <si>
    <t>Cout workers EUR/mois</t>
  </si>
  <si>
    <t>Cout fixe EUR/mois</t>
  </si>
  <si>
    <t>Cout total EUR/mois</t>
  </si>
  <si>
    <t>Cout/client EUR/mois</t>
  </si>
  <si>
    <t>CPU util. %</t>
  </si>
  <si>
    <t>RAM util. %</t>
  </si>
  <si>
    <t>t4g.small</t>
  </si>
  <si>
    <t>t4g.large</t>
  </si>
  <si>
    <t>t4g.xlarge</t>
  </si>
  <si>
    <t>m7g.xlarge</t>
  </si>
  <si>
    <t>m7g.2xlarge</t>
  </si>
  <si>
    <t>C4RBON GROUP - Simulateur d'offres Kinn</t>
  </si>
  <si>
    <t>Remplissez les cellules bleues. Ajoutez une offre dans les colonnes vides.</t>
  </si>
  <si>
    <t>Starter</t>
  </si>
  <si>
    <t>Offre 4</t>
  </si>
  <si>
    <t>Offre 5</t>
  </si>
  <si>
    <t>Offre 6</t>
  </si>
  <si>
    <t>PRIX ET INCLUSIONS</t>
  </si>
  <si>
    <t>Prix mensuel (EUR)</t>
  </si>
  <si>
    <t>Executions incluses / mois</t>
  </si>
  <si>
    <t>Credits IA inclus / mois</t>
  </si>
  <si>
    <t>Exec supplementaires (au choix)</t>
  </si>
  <si>
    <t>Credits IA supplementaires (au choix)</t>
  </si>
  <si>
    <t>FACTURATION SUPPLEMENT</t>
  </si>
  <si>
    <t>Prix exec supp. (EUR/exec)</t>
  </si>
  <si>
    <t>Prix credit supp. pay-as-you-go (EUR/cr)</t>
  </si>
  <si>
    <t>Supplement options (EUR/mois)</t>
  </si>
  <si>
    <t>Prix total facture (EUR/mois)</t>
  </si>
  <si>
    <t>COUT REEL PAR CLIENT</t>
  </si>
  <si>
    <t>Cout executions (incluses + supp.)</t>
  </si>
  <si>
    <t>Cout credits IA (inclus + supp.)</t>
  </si>
  <si>
    <t>Cout reel total / client (hors AWS)</t>
  </si>
  <si>
    <t>MARGE PAR OFFRE</t>
  </si>
  <si>
    <t>Marge brute EUR (hors AWS)</t>
  </si>
  <si>
    <t>Marge brute %</t>
  </si>
  <si>
    <t>Multiplicateur reel (x)</t>
  </si>
  <si>
    <t>SIMULATION GLOBALE</t>
  </si>
  <si>
    <t>Nombre de clients total</t>
  </si>
  <si>
    <t>Repartition clients par offre</t>
  </si>
  <si>
    <t>% clients</t>
  </si>
  <si>
    <t>Nombre de clients</t>
  </si>
  <si>
    <t>Controle total % (doit = 100%)</t>
  </si>
  <si>
    <t>RESULTATS</t>
  </si>
  <si>
    <t>Revenu moyen / client (EUR)</t>
  </si>
  <si>
    <t>Cout moyen / client hors AWS (EUR)</t>
  </si>
  <si>
    <t>Cout AWS total (EUR)</t>
  </si>
  <si>
    <t>Cout AWS / client (EUR)</t>
  </si>
  <si>
    <t>Revenu mensuel total</t>
  </si>
  <si>
    <t>Cout total (IA+exec+AWS)</t>
  </si>
  <si>
    <t>Marge mensuelle</t>
  </si>
  <si>
    <t>Revenu annuel</t>
  </si>
  <si>
    <t>Marge annuelle</t>
  </si>
  <si>
    <t>C4RBON GROUP - Benchmark concurrents</t>
  </si>
  <si>
    <t>A. Modeles de facturation</t>
  </si>
  <si>
    <t>Plateforme</t>
  </si>
  <si>
    <t>Unite</t>
  </si>
  <si>
    <t>Prix indicatif</t>
  </si>
  <si>
    <t>Inclus gratuit</t>
  </si>
  <si>
    <t>n8n Cloud</t>
  </si>
  <si>
    <t>Par execution</t>
  </si>
  <si>
    <t>1 run de workflow complet</t>
  </si>
  <si>
    <t>20 EUR (2500 exec)</t>
  </si>
  <si>
    <t>2500 exec</t>
  </si>
  <si>
    <t>Starter: 20 EUR, Pro: 50 EUR</t>
  </si>
  <si>
    <t>Make.com</t>
  </si>
  <si>
    <t>Par operation</t>
  </si>
  <si>
    <t>1 action dans un scenario</t>
  </si>
  <si>
    <t>8,28 EUR (10000 ops)</t>
  </si>
  <si>
    <t>1000 ops</t>
  </si>
  <si>
    <t>Core: 8,28 EUR, Pro: 14,72 EUR</t>
  </si>
  <si>
    <t>Zapier</t>
  </si>
  <si>
    <t>Par tache</t>
  </si>
  <si>
    <t>1 etape executee dans un zap</t>
  </si>
  <si>
    <t>18,40 EUR (750 taches)</t>
  </si>
  <si>
    <t>100 taches</t>
  </si>
  <si>
    <t>Pro: 18,40 EUR, Team: 63,48 EUR</t>
  </si>
  <si>
    <t>Kinn</t>
  </si>
  <si>
    <t>Par credit</t>
  </si>
  <si>
    <t>Unite composite (exec + IA)</t>
  </si>
  <si>
    <t>Variable selon offre</t>
  </si>
  <si>
    <t>-</t>
  </si>
  <si>
    <t>IA incluse dans le credit</t>
  </si>
  <si>
    <t>B. Comparaison scenario concret</t>
  </si>
  <si>
    <t>Scenario : 1 client PME - 500 workflows/mois + 200 appels IA</t>
  </si>
  <si>
    <t>Workflows par mois</t>
  </si>
  <si>
    <t>Appels IA par mois</t>
  </si>
  <si>
    <t>Actions par workflow (Make)</t>
  </si>
  <si>
    <t>Etapes par workflow (Zapier)</t>
  </si>
  <si>
    <t>Volume facture</t>
  </si>
  <si>
    <t>Forfait EUR</t>
  </si>
  <si>
    <t>Cout IA en + EUR</t>
  </si>
  <si>
    <t>IA incluse ?</t>
  </si>
  <si>
    <t>Non</t>
  </si>
  <si>
    <t>Kinn (offre Pro)</t>
  </si>
  <si>
    <t>Oui</t>
  </si>
  <si>
    <t>C4RBON GROUP - Projection par palier de clients</t>
  </si>
  <si>
    <t>Parametres lies a la feuille Offres</t>
  </si>
  <si>
    <t>Rev moyen/client</t>
  </si>
  <si>
    <t>Cout moyen/client (hors AWS)</t>
  </si>
  <si>
    <t>Projection par palier</t>
  </si>
  <si>
    <t>Revenu EUR</t>
  </si>
  <si>
    <t>Cout AWS EUR</t>
  </si>
  <si>
    <t>Cout IA+Exec EUR</t>
  </si>
  <si>
    <t>Rev/client</t>
  </si>
  <si>
    <t>Cout/client</t>
  </si>
  <si>
    <t>Exec totales</t>
  </si>
  <si>
    <t>Req IA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</si>
</sst>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"/>
    <numFmt numFmtId="165" formatCode="#,##0.00&quot; EUR&quot;"/>
    <numFmt numFmtId="166" formatCode="#,##0.0000&quot; EUR&quot;"/>
    <numFmt numFmtId="167" formatCode="#,##0.000000&quot; EUR&quot;"/>
    <numFmt numFmtId="168" formatCode="0.0%"/>
    <numFmt numFmtId="169" formatCode="0.0\x"/>
    <numFmt numFmtId="170" formatCode="#,##0&quot; cr&quot;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Poppins"/>
    </font>
    <font>
      <sz val="10"/>
      <color rgb="FF5F5F5F"/>
      <name val="Poppins"/>
    </font>
    <font>
      <b/>
      <sz val="10"/>
      <color rgb="FF0000FF"/>
      <name val="Poppins"/>
    </font>
    <font>
      <b/>
      <sz val="10"/>
      <color rgb="FFFFFFFF"/>
      <name val="Poppins"/>
    </font>
    <font>
      <sz val="10"/>
      <color rgb="FF000000"/>
      <name val="Poppins"/>
    </font>
    <font>
      <b/>
      <sz val="12"/>
      <color rgb="FF000000"/>
      <name val="Poppins"/>
    </font>
    <font>
      <b/>
      <sz val="10"/>
      <color rgb="FF000000"/>
      <name val="Poppins"/>
    </font>
    <font>
      <i/>
      <sz val="9"/>
      <color rgb="FF888888"/>
      <name val="Poppins"/>
    </font>
    <font>
      <b/>
      <sz val="11"/>
      <color rgb="FFFFFFFF"/>
      <name val="Poppins"/>
    </font>
    <font>
      <b/>
      <sz val="10"/>
      <color rgb="FF00800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1A1A1A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FFFF0"/>
      </patternFill>
    </fill>
    <fill>
      <patternFill patternType="solid">
        <fgColor rgb="FFFFF9C4"/>
        <bgColor rgb="FFFFFFF0"/>
      </patternFill>
    </fill>
    <fill>
      <patternFill patternType="solid">
        <fgColor rgb="FFE8F5E9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6" fontId="5" fillId="5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7" fontId="5" fillId="4" borderId="2" xfId="0" applyNumberFormat="1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168" fontId="5" fillId="5" borderId="2" xfId="0" applyNumberFormat="1" applyFont="1" applyFill="1" applyBorder="1" applyAlignment="1">
      <alignment horizontal="center" vertical="center"/>
    </xf>
    <xf numFmtId="168" fontId="5" fillId="4" borderId="2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5" fontId="7" fillId="0" borderId="2" xfId="0" applyNumberFormat="1" applyFont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165" fontId="7" fillId="7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165" fontId="10" fillId="7" borderId="2" xfId="0" applyNumberFormat="1" applyFont="1" applyFill="1" applyBorder="1" applyAlignment="1">
      <alignment horizontal="center" vertical="center"/>
    </xf>
    <xf numFmtId="168" fontId="10" fillId="7" borderId="2" xfId="0" applyNumberFormat="1" applyFont="1" applyFill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8" fontId="3" fillId="2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8" fontId="7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65" fontId="10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2" xfId="0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0" fontId="5" fillId="7" borderId="2" xfId="0" applyFont="1" applyFill="1" applyBorder="1"/>
    <xf numFmtId="170" fontId="5" fillId="7" borderId="2" xfId="0" applyNumberFormat="1" applyFont="1" applyFill="1" applyBorder="1"/>
    <xf numFmtId="165" fontId="5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F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zoomScaleNormal="100" workbookViewId="0">
      <selection activeCell="D6" sqref="D6"/>
    </sheetView>
  </sheetViews>
  <sheetFormatPr baseColWidth="10" defaultColWidth="8.6640625" defaultRowHeight="15" x14ac:dyDescent="0.2"/>
  <cols>
    <col min="1" max="1" width="14" customWidth="1"/>
    <col min="2" max="2" width="22" customWidth="1"/>
    <col min="3" max="4" width="18" customWidth="1"/>
    <col min="5" max="5" width="12" customWidth="1"/>
    <col min="6" max="6" width="20" customWidth="1"/>
  </cols>
  <sheetData>
    <row r="1" spans="1:21" ht="17.2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 x14ac:dyDescent="0.2">
      <c r="A2" s="3" t="s">
        <v>1</v>
      </c>
      <c r="B2" s="4">
        <v>0.92</v>
      </c>
    </row>
    <row r="3" spans="1:21" ht="1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21" ht="15" customHeight="1" x14ac:dyDescent="0.2">
      <c r="A4" s="6" t="s">
        <v>8</v>
      </c>
      <c r="B4" s="6" t="s">
        <v>9</v>
      </c>
      <c r="C4" s="7">
        <f>2.5*$B$2</f>
        <v>2.3000000000000003</v>
      </c>
      <c r="D4" s="7">
        <f>15*$B$2</f>
        <v>13.8</v>
      </c>
      <c r="E4" s="8">
        <v>128000</v>
      </c>
      <c r="F4" s="6"/>
    </row>
    <row r="5" spans="1:21" ht="15" customHeight="1" x14ac:dyDescent="0.2">
      <c r="A5" s="9" t="s">
        <v>8</v>
      </c>
      <c r="B5" s="9" t="s">
        <v>10</v>
      </c>
      <c r="C5" s="10">
        <f>30*$B$2</f>
        <v>27.6</v>
      </c>
      <c r="D5" s="10">
        <f>180*$B$2</f>
        <v>165.6</v>
      </c>
      <c r="E5" s="11">
        <v>128000</v>
      </c>
      <c r="F5" s="9" t="s">
        <v>11</v>
      </c>
    </row>
    <row r="6" spans="1:21" ht="15" customHeight="1" x14ac:dyDescent="0.2">
      <c r="A6" s="6" t="s">
        <v>8</v>
      </c>
      <c r="B6" s="6" t="s">
        <v>12</v>
      </c>
      <c r="C6" s="7">
        <f>1.75*$B$2</f>
        <v>1.61</v>
      </c>
      <c r="D6" s="7">
        <f>14*$B$2</f>
        <v>12.88</v>
      </c>
      <c r="E6" s="8">
        <v>128000</v>
      </c>
      <c r="F6" s="6"/>
    </row>
    <row r="7" spans="1:21" ht="15" customHeight="1" x14ac:dyDescent="0.2">
      <c r="A7" s="9" t="s">
        <v>8</v>
      </c>
      <c r="B7" s="9" t="s">
        <v>13</v>
      </c>
      <c r="C7" s="10">
        <f>1.25*$B$2</f>
        <v>1.1500000000000001</v>
      </c>
      <c r="D7" s="10">
        <f>10*$B$2</f>
        <v>9.2000000000000011</v>
      </c>
      <c r="E7" s="11">
        <v>128000</v>
      </c>
      <c r="F7" s="9"/>
    </row>
    <row r="8" spans="1:21" ht="15" customHeight="1" x14ac:dyDescent="0.2">
      <c r="A8" s="6" t="s">
        <v>8</v>
      </c>
      <c r="B8" s="6" t="s">
        <v>14</v>
      </c>
      <c r="C8" s="7">
        <f>1.25*$B$2</f>
        <v>1.1500000000000001</v>
      </c>
      <c r="D8" s="7">
        <f>10*$B$2</f>
        <v>9.2000000000000011</v>
      </c>
      <c r="E8" s="8">
        <v>128000</v>
      </c>
      <c r="F8" s="6"/>
    </row>
    <row r="9" spans="1:21" ht="15" customHeight="1" x14ac:dyDescent="0.2">
      <c r="A9" s="9" t="s">
        <v>8</v>
      </c>
      <c r="B9" s="9" t="s">
        <v>15</v>
      </c>
      <c r="C9" s="10">
        <f>0.25*$B$2</f>
        <v>0.23</v>
      </c>
      <c r="D9" s="10">
        <f>2*$B$2</f>
        <v>1.84</v>
      </c>
      <c r="E9" s="11">
        <v>128000</v>
      </c>
      <c r="F9" s="9" t="s">
        <v>16</v>
      </c>
    </row>
    <row r="10" spans="1:21" ht="15" customHeight="1" x14ac:dyDescent="0.2">
      <c r="A10" s="6" t="s">
        <v>8</v>
      </c>
      <c r="B10" s="6" t="s">
        <v>17</v>
      </c>
      <c r="C10" s="7">
        <f>0.05*$B$2</f>
        <v>4.6000000000000006E-2</v>
      </c>
      <c r="D10" s="7">
        <f>0.4*$B$2</f>
        <v>0.36800000000000005</v>
      </c>
      <c r="E10" s="8">
        <v>128000</v>
      </c>
      <c r="F10" s="6" t="s">
        <v>18</v>
      </c>
    </row>
    <row r="11" spans="1:21" ht="15" customHeight="1" x14ac:dyDescent="0.2">
      <c r="A11" s="9" t="s">
        <v>8</v>
      </c>
      <c r="B11" s="9" t="s">
        <v>19</v>
      </c>
      <c r="C11" s="10">
        <f>2*$B$2</f>
        <v>1.84</v>
      </c>
      <c r="D11" s="10">
        <f>8*$B$2</f>
        <v>7.36</v>
      </c>
      <c r="E11" s="11">
        <v>1048576</v>
      </c>
      <c r="F11" s="9" t="s">
        <v>20</v>
      </c>
    </row>
    <row r="12" spans="1:21" ht="15" customHeight="1" x14ac:dyDescent="0.2">
      <c r="A12" s="6" t="s">
        <v>8</v>
      </c>
      <c r="B12" s="6" t="s">
        <v>21</v>
      </c>
      <c r="C12" s="7">
        <f>0.4*$B$2</f>
        <v>0.36800000000000005</v>
      </c>
      <c r="D12" s="7">
        <f>1.6*$B$2</f>
        <v>1.4720000000000002</v>
      </c>
      <c r="E12" s="8">
        <v>1048576</v>
      </c>
      <c r="F12" s="6"/>
    </row>
    <row r="13" spans="1:21" ht="15" customHeight="1" x14ac:dyDescent="0.2">
      <c r="A13" s="9" t="s">
        <v>8</v>
      </c>
      <c r="B13" s="9" t="s">
        <v>22</v>
      </c>
      <c r="C13" s="10">
        <f>0.1*$B$2</f>
        <v>9.2000000000000012E-2</v>
      </c>
      <c r="D13" s="10">
        <f>0.4*$B$2</f>
        <v>0.36800000000000005</v>
      </c>
      <c r="E13" s="11">
        <v>1048576</v>
      </c>
      <c r="F13" s="9"/>
    </row>
    <row r="14" spans="1:21" ht="15" customHeight="1" x14ac:dyDescent="0.2">
      <c r="A14" s="6" t="s">
        <v>8</v>
      </c>
      <c r="B14" s="6" t="s">
        <v>23</v>
      </c>
      <c r="C14" s="7">
        <f>2*$B$2</f>
        <v>1.84</v>
      </c>
      <c r="D14" s="7">
        <f>8*$B$2</f>
        <v>7.36</v>
      </c>
      <c r="E14" s="8">
        <v>200000</v>
      </c>
      <c r="F14" s="6" t="s">
        <v>11</v>
      </c>
    </row>
    <row r="15" spans="1:21" ht="15" customHeight="1" x14ac:dyDescent="0.2">
      <c r="A15" s="9" t="s">
        <v>8</v>
      </c>
      <c r="B15" s="9" t="s">
        <v>24</v>
      </c>
      <c r="C15" s="10">
        <f>20*$B$2</f>
        <v>18.400000000000002</v>
      </c>
      <c r="D15" s="10">
        <f>80*$B$2</f>
        <v>73.600000000000009</v>
      </c>
      <c r="E15" s="11">
        <v>200000</v>
      </c>
      <c r="F15" s="9" t="s">
        <v>25</v>
      </c>
    </row>
    <row r="16" spans="1:21" ht="15" customHeight="1" x14ac:dyDescent="0.2">
      <c r="A16" s="6" t="s">
        <v>26</v>
      </c>
      <c r="B16" s="6" t="s">
        <v>27</v>
      </c>
      <c r="C16" s="7">
        <f>5*$B$2</f>
        <v>4.6000000000000005</v>
      </c>
      <c r="D16" s="7">
        <f>25*$B$2</f>
        <v>23</v>
      </c>
      <c r="E16" s="8">
        <v>200000</v>
      </c>
      <c r="F16" s="6"/>
    </row>
    <row r="17" spans="1:6" ht="15" customHeight="1" x14ac:dyDescent="0.2">
      <c r="A17" s="9" t="s">
        <v>26</v>
      </c>
      <c r="B17" s="9" t="s">
        <v>28</v>
      </c>
      <c r="C17" s="10">
        <f>3*$B$2</f>
        <v>2.7600000000000002</v>
      </c>
      <c r="D17" s="10">
        <f>15*$B$2</f>
        <v>13.8</v>
      </c>
      <c r="E17" s="11">
        <v>200000</v>
      </c>
      <c r="F17" s="9"/>
    </row>
    <row r="18" spans="1:6" ht="15" customHeight="1" x14ac:dyDescent="0.2">
      <c r="A18" s="6" t="s">
        <v>26</v>
      </c>
      <c r="B18" s="6" t="s">
        <v>29</v>
      </c>
      <c r="C18" s="7">
        <f>1*$B$2</f>
        <v>0.92</v>
      </c>
      <c r="D18" s="7">
        <f>5*$B$2</f>
        <v>4.6000000000000005</v>
      </c>
      <c r="E18" s="8">
        <v>200000</v>
      </c>
      <c r="F18" s="6" t="s">
        <v>30</v>
      </c>
    </row>
    <row r="19" spans="1:6" ht="15" customHeight="1" x14ac:dyDescent="0.2">
      <c r="A19" s="9" t="s">
        <v>26</v>
      </c>
      <c r="B19" s="9" t="s">
        <v>31</v>
      </c>
      <c r="C19" s="10">
        <f>3*$B$2</f>
        <v>2.7600000000000002</v>
      </c>
      <c r="D19" s="10">
        <f>15*$B$2</f>
        <v>13.8</v>
      </c>
      <c r="E19" s="11">
        <v>200000</v>
      </c>
      <c r="F19" s="9"/>
    </row>
    <row r="20" spans="1:6" ht="15" customHeight="1" x14ac:dyDescent="0.2">
      <c r="A20" s="6" t="s">
        <v>26</v>
      </c>
      <c r="B20" s="6" t="s">
        <v>32</v>
      </c>
      <c r="C20" s="7">
        <f>5*$B$2</f>
        <v>4.6000000000000005</v>
      </c>
      <c r="D20" s="7">
        <f>25*$B$2</f>
        <v>23</v>
      </c>
      <c r="E20" s="8">
        <v>200000</v>
      </c>
      <c r="F20" s="6"/>
    </row>
    <row r="21" spans="1:6" ht="15" customHeight="1" x14ac:dyDescent="0.2">
      <c r="A21" s="9" t="s">
        <v>33</v>
      </c>
      <c r="B21" s="9" t="s">
        <v>34</v>
      </c>
      <c r="C21" s="10">
        <f>2*$B$2</f>
        <v>1.84</v>
      </c>
      <c r="D21" s="10">
        <f>12*$B$2</f>
        <v>11.040000000000001</v>
      </c>
      <c r="E21" s="11">
        <v>1048576</v>
      </c>
      <c r="F21" s="9" t="s">
        <v>20</v>
      </c>
    </row>
    <row r="22" spans="1:6" ht="15" customHeight="1" x14ac:dyDescent="0.2">
      <c r="A22" s="6" t="s">
        <v>33</v>
      </c>
      <c r="B22" s="6" t="s">
        <v>35</v>
      </c>
      <c r="C22" s="7">
        <f>0.15*$B$2</f>
        <v>0.13800000000000001</v>
      </c>
      <c r="D22" s="7">
        <f>0.6*$B$2</f>
        <v>0.55200000000000005</v>
      </c>
      <c r="E22" s="8">
        <v>1048576</v>
      </c>
      <c r="F22" s="6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zoomScaleNormal="100" workbookViewId="0">
      <selection activeCell="C5" sqref="C5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3" width="16" customWidth="1"/>
    <col min="4" max="5" width="18" customWidth="1"/>
  </cols>
  <sheetData>
    <row r="1" spans="1:21" ht="17.25" customHeight="1" x14ac:dyDescent="0.35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15" customHeight="1" x14ac:dyDescent="0.3">
      <c r="A3" s="12" t="s">
        <v>37</v>
      </c>
    </row>
    <row r="4" spans="1:21" ht="15" customHeight="1" x14ac:dyDescent="0.2">
      <c r="A4" s="3" t="s">
        <v>38</v>
      </c>
      <c r="B4" s="13" t="s">
        <v>12</v>
      </c>
    </row>
    <row r="5" spans="1:21" ht="15" customHeight="1" x14ac:dyDescent="0.2">
      <c r="A5" s="3" t="s">
        <v>4</v>
      </c>
      <c r="B5" s="14">
        <f>'Catalogue LLM'!C6</f>
        <v>1.61</v>
      </c>
    </row>
    <row r="6" spans="1:21" ht="15" customHeight="1" x14ac:dyDescent="0.2">
      <c r="A6" s="3" t="s">
        <v>5</v>
      </c>
      <c r="B6" s="14">
        <f>'Catalogue LLM'!D6</f>
        <v>12.88</v>
      </c>
    </row>
    <row r="8" spans="1:21" ht="15" customHeight="1" x14ac:dyDescent="0.3">
      <c r="A8" s="12" t="s">
        <v>39</v>
      </c>
    </row>
    <row r="9" spans="1:21" ht="15" customHeight="1" x14ac:dyDescent="0.2">
      <c r="A9" s="3" t="s">
        <v>40</v>
      </c>
      <c r="B9" s="15">
        <v>2000</v>
      </c>
    </row>
    <row r="10" spans="1:21" ht="15" customHeight="1" x14ac:dyDescent="0.2">
      <c r="A10" s="3" t="s">
        <v>41</v>
      </c>
      <c r="B10" s="15">
        <v>500</v>
      </c>
    </row>
    <row r="12" spans="1:21" ht="15" customHeight="1" x14ac:dyDescent="0.3">
      <c r="A12" s="12" t="s">
        <v>42</v>
      </c>
    </row>
    <row r="13" spans="1:21" ht="15" customHeight="1" x14ac:dyDescent="0.2">
      <c r="A13" s="3" t="s">
        <v>43</v>
      </c>
      <c r="B13" s="16">
        <f>B9/1000000*B5</f>
        <v>3.2200000000000002E-3</v>
      </c>
    </row>
    <row r="14" spans="1:21" ht="15" customHeight="1" x14ac:dyDescent="0.2">
      <c r="A14" s="3" t="s">
        <v>44</v>
      </c>
      <c r="B14" s="16">
        <f>B10/1000000*B6</f>
        <v>6.4400000000000004E-3</v>
      </c>
    </row>
    <row r="15" spans="1:21" ht="15" customHeight="1" x14ac:dyDescent="0.2">
      <c r="A15" s="3" t="s">
        <v>45</v>
      </c>
      <c r="B15" s="16">
        <f>B13+B14</f>
        <v>9.6600000000000002E-3</v>
      </c>
    </row>
    <row r="17" spans="1:5" ht="15" customHeight="1" x14ac:dyDescent="0.3">
      <c r="A17" s="12" t="s">
        <v>46</v>
      </c>
    </row>
    <row r="18" spans="1:5" ht="15" customHeight="1" x14ac:dyDescent="0.2">
      <c r="A18" s="3" t="s">
        <v>47</v>
      </c>
      <c r="B18" s="15">
        <v>200</v>
      </c>
    </row>
    <row r="19" spans="1:5" ht="15" customHeight="1" x14ac:dyDescent="0.2">
      <c r="A19" s="3" t="s">
        <v>48</v>
      </c>
      <c r="B19" s="14">
        <f>B18*B15</f>
        <v>1.9319999999999999</v>
      </c>
    </row>
    <row r="21" spans="1:5" ht="15" customHeight="1" x14ac:dyDescent="0.3">
      <c r="A21" s="12" t="s">
        <v>49</v>
      </c>
    </row>
    <row r="22" spans="1:5" ht="15" customHeight="1" x14ac:dyDescent="0.2">
      <c r="A22" s="5" t="s">
        <v>3</v>
      </c>
      <c r="B22" s="5" t="s">
        <v>50</v>
      </c>
      <c r="C22" s="5" t="s">
        <v>51</v>
      </c>
      <c r="D22" s="5" t="s">
        <v>52</v>
      </c>
      <c r="E22" s="5" t="s">
        <v>53</v>
      </c>
    </row>
    <row r="23" spans="1:5" ht="15" customHeight="1" x14ac:dyDescent="0.2">
      <c r="A23" s="9" t="s">
        <v>15</v>
      </c>
      <c r="B23" s="10">
        <f>'Catalogue LLM'!C9</f>
        <v>0.23</v>
      </c>
      <c r="C23" s="10">
        <f>'Catalogue LLM'!D9</f>
        <v>1.84</v>
      </c>
      <c r="D23" s="17">
        <f t="shared" ref="D23:D29" si="0">$B$9/1000000*B23+$B$10/1000000*C23</f>
        <v>1.3800000000000002E-3</v>
      </c>
      <c r="E23" s="10">
        <f t="shared" ref="E23:E29" si="1">D23*$B$18</f>
        <v>0.27600000000000002</v>
      </c>
    </row>
    <row r="24" spans="1:5" ht="15" customHeight="1" x14ac:dyDescent="0.2">
      <c r="A24" s="6" t="s">
        <v>17</v>
      </c>
      <c r="B24" s="7">
        <f>'Catalogue LLM'!C10</f>
        <v>4.6000000000000006E-2</v>
      </c>
      <c r="C24" s="7">
        <f>'Catalogue LLM'!D10</f>
        <v>0.36800000000000005</v>
      </c>
      <c r="D24" s="18">
        <f t="shared" si="0"/>
        <v>2.7600000000000004E-4</v>
      </c>
      <c r="E24" s="7">
        <f t="shared" si="1"/>
        <v>5.5200000000000006E-2</v>
      </c>
    </row>
    <row r="25" spans="1:5" ht="15" customHeight="1" x14ac:dyDescent="0.2">
      <c r="A25" s="9" t="s">
        <v>12</v>
      </c>
      <c r="B25" s="10">
        <f>'Catalogue LLM'!C6</f>
        <v>1.61</v>
      </c>
      <c r="C25" s="10">
        <f>'Catalogue LLM'!D6</f>
        <v>12.88</v>
      </c>
      <c r="D25" s="17">
        <f t="shared" si="0"/>
        <v>9.6600000000000002E-3</v>
      </c>
      <c r="E25" s="10">
        <f t="shared" si="1"/>
        <v>1.9319999999999999</v>
      </c>
    </row>
    <row r="26" spans="1:5" ht="15" customHeight="1" x14ac:dyDescent="0.2">
      <c r="A26" s="6" t="s">
        <v>9</v>
      </c>
      <c r="B26" s="7">
        <f>'Catalogue LLM'!C4</f>
        <v>2.3000000000000003</v>
      </c>
      <c r="C26" s="7">
        <f>'Catalogue LLM'!D4</f>
        <v>13.8</v>
      </c>
      <c r="D26" s="18">
        <f t="shared" si="0"/>
        <v>1.1500000000000002E-2</v>
      </c>
      <c r="E26" s="7">
        <f t="shared" si="1"/>
        <v>2.3000000000000003</v>
      </c>
    </row>
    <row r="27" spans="1:5" ht="15" customHeight="1" x14ac:dyDescent="0.2">
      <c r="A27" s="9" t="s">
        <v>28</v>
      </c>
      <c r="B27" s="10">
        <f>'Catalogue LLM'!C17</f>
        <v>2.7600000000000002</v>
      </c>
      <c r="C27" s="10">
        <f>'Catalogue LLM'!D17</f>
        <v>13.8</v>
      </c>
      <c r="D27" s="17">
        <f t="shared" si="0"/>
        <v>1.242E-2</v>
      </c>
      <c r="E27" s="10">
        <f t="shared" si="1"/>
        <v>2.484</v>
      </c>
    </row>
    <row r="28" spans="1:5" ht="15" customHeight="1" x14ac:dyDescent="0.2">
      <c r="A28" s="6" t="s">
        <v>29</v>
      </c>
      <c r="B28" s="7">
        <f>'Catalogue LLM'!C18</f>
        <v>0.92</v>
      </c>
      <c r="C28" s="7">
        <f>'Catalogue LLM'!D18</f>
        <v>4.6000000000000005</v>
      </c>
      <c r="D28" s="18">
        <f t="shared" si="0"/>
        <v>4.1400000000000005E-3</v>
      </c>
      <c r="E28" s="7">
        <f t="shared" si="1"/>
        <v>0.82800000000000007</v>
      </c>
    </row>
    <row r="29" spans="1:5" ht="15" customHeight="1" x14ac:dyDescent="0.2">
      <c r="A29" s="9" t="s">
        <v>35</v>
      </c>
      <c r="B29" s="10">
        <f>'Catalogue LLM'!C22</f>
        <v>0.13800000000000001</v>
      </c>
      <c r="C29" s="10">
        <f>'Catalogue LLM'!D22</f>
        <v>0.55200000000000005</v>
      </c>
      <c r="D29" s="17">
        <f t="shared" si="0"/>
        <v>5.5200000000000008E-4</v>
      </c>
      <c r="E29" s="10">
        <f t="shared" si="1"/>
        <v>0.11040000000000001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zoomScaleNormal="100" workbookViewId="0">
      <selection activeCell="D9" sqref="D9"/>
    </sheetView>
  </sheetViews>
  <sheetFormatPr baseColWidth="10" defaultColWidth="8.6640625" defaultRowHeight="15" x14ac:dyDescent="0.2"/>
  <cols>
    <col min="1" max="1" width="32" customWidth="1"/>
    <col min="2" max="3" width="18" customWidth="1"/>
  </cols>
  <sheetData>
    <row r="1" spans="1:21" ht="17.25" customHeight="1" x14ac:dyDescent="0.3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15" customHeight="1" x14ac:dyDescent="0.3">
      <c r="A3" s="12" t="s">
        <v>55</v>
      </c>
    </row>
    <row r="4" spans="1:21" ht="15" customHeight="1" x14ac:dyDescent="0.2">
      <c r="A4" s="3" t="s">
        <v>56</v>
      </c>
      <c r="B4" s="15">
        <v>30</v>
      </c>
    </row>
    <row r="5" spans="1:21" ht="15" customHeight="1" x14ac:dyDescent="0.2">
      <c r="A5" s="3" t="s">
        <v>57</v>
      </c>
      <c r="B5" s="19">
        <v>0.1</v>
      </c>
    </row>
    <row r="6" spans="1:21" ht="15" customHeight="1" x14ac:dyDescent="0.2">
      <c r="A6" s="3" t="s">
        <v>58</v>
      </c>
      <c r="B6" s="15">
        <v>128</v>
      </c>
    </row>
    <row r="7" spans="1:21" ht="15" customHeight="1" x14ac:dyDescent="0.2">
      <c r="A7" s="3" t="s">
        <v>59</v>
      </c>
      <c r="B7" s="13" t="s">
        <v>60</v>
      </c>
    </row>
    <row r="8" spans="1:21" ht="15" customHeight="1" x14ac:dyDescent="0.2">
      <c r="A8" s="3" t="s">
        <v>61</v>
      </c>
      <c r="B8" s="16">
        <f>0.0336*'Catalogue LLM'!B2</f>
        <v>3.0911999999999999E-2</v>
      </c>
    </row>
    <row r="9" spans="1:21" ht="15" customHeight="1" x14ac:dyDescent="0.2">
      <c r="A9" s="3" t="s">
        <v>62</v>
      </c>
      <c r="B9" s="20">
        <v>2</v>
      </c>
    </row>
    <row r="11" spans="1:21" ht="15" customHeight="1" x14ac:dyDescent="0.3">
      <c r="A11" s="12" t="s">
        <v>63</v>
      </c>
    </row>
    <row r="12" spans="1:21" ht="15" customHeight="1" x14ac:dyDescent="0.2">
      <c r="A12" s="3" t="s">
        <v>64</v>
      </c>
      <c r="B12" s="21">
        <f>B8/3600</f>
        <v>8.5866666666666669E-6</v>
      </c>
    </row>
    <row r="13" spans="1:21" ht="15" customHeight="1" x14ac:dyDescent="0.2">
      <c r="A13" s="3" t="s">
        <v>65</v>
      </c>
      <c r="B13" s="22">
        <f>B5/B9</f>
        <v>0.05</v>
      </c>
    </row>
    <row r="14" spans="1:21" ht="15" customHeight="1" x14ac:dyDescent="0.2">
      <c r="A14" s="3" t="s">
        <v>66</v>
      </c>
      <c r="B14" s="21">
        <f>B12*B4*B13</f>
        <v>1.2880000000000002E-5</v>
      </c>
    </row>
    <row r="16" spans="1:21" ht="15" customHeight="1" x14ac:dyDescent="0.3">
      <c r="A16" s="12" t="s">
        <v>67</v>
      </c>
    </row>
    <row r="17" spans="1:3" ht="15" customHeight="1" x14ac:dyDescent="0.2">
      <c r="A17" s="3" t="s">
        <v>68</v>
      </c>
      <c r="B17" s="15">
        <v>500</v>
      </c>
    </row>
    <row r="18" spans="1:3" ht="15" customHeight="1" x14ac:dyDescent="0.2">
      <c r="A18" s="3" t="s">
        <v>69</v>
      </c>
      <c r="B18" s="16">
        <f>B17*B14</f>
        <v>6.4400000000000013E-3</v>
      </c>
    </row>
    <row r="20" spans="1:3" ht="15" customHeight="1" x14ac:dyDescent="0.3">
      <c r="A20" s="12" t="s">
        <v>70</v>
      </c>
    </row>
    <row r="21" spans="1:3" ht="15" customHeight="1" x14ac:dyDescent="0.2">
      <c r="A21" s="5" t="s">
        <v>71</v>
      </c>
      <c r="B21" s="5" t="s">
        <v>72</v>
      </c>
      <c r="C21" s="5" t="s">
        <v>73</v>
      </c>
    </row>
    <row r="22" spans="1:3" ht="15" customHeight="1" x14ac:dyDescent="0.2">
      <c r="A22" s="8">
        <v>100</v>
      </c>
      <c r="B22" s="18">
        <f t="shared" ref="B22:B27" si="0">A22*$B$14</f>
        <v>1.2880000000000003E-3</v>
      </c>
      <c r="C22" s="23">
        <f t="shared" ref="C22:C27" si="1">$B$14</f>
        <v>1.2880000000000002E-5</v>
      </c>
    </row>
    <row r="23" spans="1:3" ht="15" customHeight="1" x14ac:dyDescent="0.2">
      <c r="A23" s="11">
        <v>500</v>
      </c>
      <c r="B23" s="17">
        <f t="shared" si="0"/>
        <v>6.4400000000000013E-3</v>
      </c>
      <c r="C23" s="24">
        <f t="shared" si="1"/>
        <v>1.2880000000000002E-5</v>
      </c>
    </row>
    <row r="24" spans="1:3" ht="15" customHeight="1" x14ac:dyDescent="0.2">
      <c r="A24" s="8">
        <v>1000</v>
      </c>
      <c r="B24" s="18">
        <f t="shared" si="0"/>
        <v>1.2880000000000003E-2</v>
      </c>
      <c r="C24" s="23">
        <f t="shared" si="1"/>
        <v>1.2880000000000002E-5</v>
      </c>
    </row>
    <row r="25" spans="1:3" ht="15" customHeight="1" x14ac:dyDescent="0.2">
      <c r="A25" s="11">
        <v>2000</v>
      </c>
      <c r="B25" s="17">
        <f t="shared" si="0"/>
        <v>2.5760000000000005E-2</v>
      </c>
      <c r="C25" s="24">
        <f t="shared" si="1"/>
        <v>1.2880000000000002E-5</v>
      </c>
    </row>
    <row r="26" spans="1:3" ht="15" customHeight="1" x14ac:dyDescent="0.2">
      <c r="A26" s="8">
        <v>5000</v>
      </c>
      <c r="B26" s="18">
        <f t="shared" si="0"/>
        <v>6.4400000000000013E-2</v>
      </c>
      <c r="C26" s="23">
        <f t="shared" si="1"/>
        <v>1.2880000000000002E-5</v>
      </c>
    </row>
    <row r="27" spans="1:3" ht="15" customHeight="1" x14ac:dyDescent="0.2">
      <c r="A27" s="11">
        <v>10000</v>
      </c>
      <c r="B27" s="17">
        <f t="shared" si="0"/>
        <v>0.12880000000000003</v>
      </c>
      <c r="C27" s="24">
        <f t="shared" si="1"/>
        <v>1.2880000000000002E-5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32" customWidth="1"/>
    <col min="2" max="2" width="18" customWidth="1"/>
    <col min="3" max="4" width="16" customWidth="1"/>
    <col min="5" max="5" width="14" customWidth="1"/>
    <col min="6" max="6" width="10" customWidth="1"/>
  </cols>
  <sheetData>
    <row r="1" spans="1:21" ht="17.25" customHeight="1" x14ac:dyDescent="0.3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15" customHeight="1" x14ac:dyDescent="0.3">
      <c r="A3" s="12" t="s">
        <v>75</v>
      </c>
    </row>
    <row r="4" spans="1:21" ht="15" customHeight="1" x14ac:dyDescent="0.2">
      <c r="A4" s="3" t="s">
        <v>76</v>
      </c>
      <c r="B4" s="20">
        <v>50</v>
      </c>
    </row>
    <row r="5" spans="1:21" ht="15" customHeight="1" x14ac:dyDescent="0.2">
      <c r="A5" s="3" t="s">
        <v>1</v>
      </c>
      <c r="B5" s="25">
        <f>'Catalogue LLM'!B2</f>
        <v>0.92</v>
      </c>
    </row>
    <row r="6" spans="1:21" ht="15" customHeight="1" x14ac:dyDescent="0.2">
      <c r="A6" s="3" t="s">
        <v>77</v>
      </c>
      <c r="B6" s="26">
        <f>B4/B5</f>
        <v>54.347826086956516</v>
      </c>
    </row>
    <row r="7" spans="1:21" ht="15" customHeight="1" x14ac:dyDescent="0.2">
      <c r="A7" s="3" t="s">
        <v>78</v>
      </c>
      <c r="B7" s="16">
        <f>1/B6</f>
        <v>1.8400000000000003E-2</v>
      </c>
    </row>
    <row r="9" spans="1:21" ht="15" customHeight="1" x14ac:dyDescent="0.3">
      <c r="A9" s="12" t="s">
        <v>79</v>
      </c>
    </row>
    <row r="10" spans="1:21" ht="15" customHeight="1" x14ac:dyDescent="0.2">
      <c r="A10" s="3" t="s">
        <v>80</v>
      </c>
      <c r="B10" s="19">
        <v>3</v>
      </c>
    </row>
    <row r="11" spans="1:21" ht="15" customHeight="1" x14ac:dyDescent="0.2">
      <c r="A11" s="3" t="s">
        <v>81</v>
      </c>
      <c r="B11" s="19">
        <v>2</v>
      </c>
    </row>
    <row r="12" spans="1:21" ht="15" customHeight="1" x14ac:dyDescent="0.2">
      <c r="A12" s="3" t="s">
        <v>82</v>
      </c>
      <c r="B12" s="16">
        <f>B7*B10</f>
        <v>5.5200000000000013E-2</v>
      </c>
    </row>
    <row r="13" spans="1:21" ht="15" customHeight="1" x14ac:dyDescent="0.2">
      <c r="A13" s="3" t="s">
        <v>83</v>
      </c>
      <c r="B13" s="16">
        <f>B7*B11</f>
        <v>3.6800000000000006E-2</v>
      </c>
    </row>
    <row r="15" spans="1:21" ht="15" customHeight="1" x14ac:dyDescent="0.3">
      <c r="A15" s="12" t="s">
        <v>84</v>
      </c>
    </row>
    <row r="16" spans="1:21" ht="15" customHeight="1" x14ac:dyDescent="0.2">
      <c r="A16" s="3" t="s">
        <v>85</v>
      </c>
      <c r="B16" s="16">
        <f>'Cout reel IA'!B15</f>
        <v>9.6600000000000002E-3</v>
      </c>
    </row>
    <row r="17" spans="1:6" ht="15" customHeight="1" x14ac:dyDescent="0.2">
      <c r="A17" s="3" t="s">
        <v>86</v>
      </c>
      <c r="B17" s="25">
        <f>B16/B7</f>
        <v>0.52499999999999991</v>
      </c>
    </row>
    <row r="18" spans="1:6" ht="15" customHeight="1" x14ac:dyDescent="0.2">
      <c r="A18" s="3" t="s">
        <v>87</v>
      </c>
      <c r="B18" s="21">
        <f>Execution!B14</f>
        <v>1.2880000000000002E-5</v>
      </c>
    </row>
    <row r="19" spans="1:6" ht="15" customHeight="1" x14ac:dyDescent="0.2">
      <c r="A19" s="3" t="s">
        <v>88</v>
      </c>
      <c r="B19" s="25">
        <f>B18/B7</f>
        <v>6.9999999999999999E-4</v>
      </c>
    </row>
    <row r="21" spans="1:6" ht="15" customHeight="1" x14ac:dyDescent="0.3">
      <c r="A21" s="12" t="s">
        <v>89</v>
      </c>
    </row>
    <row r="22" spans="1:6" ht="15" customHeight="1" x14ac:dyDescent="0.2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94</v>
      </c>
      <c r="F22" s="5" t="s">
        <v>95</v>
      </c>
    </row>
    <row r="23" spans="1:6" ht="15" customHeight="1" x14ac:dyDescent="0.2">
      <c r="A23" s="9" t="s">
        <v>96</v>
      </c>
      <c r="B23" s="11">
        <v>500</v>
      </c>
      <c r="C23" s="10">
        <f>B23*$B$12</f>
        <v>27.600000000000005</v>
      </c>
      <c r="D23" s="10">
        <f>B23*$B$7</f>
        <v>9.2000000000000011</v>
      </c>
      <c r="E23" s="10">
        <f>C23-D23</f>
        <v>18.400000000000006</v>
      </c>
      <c r="F23" s="27">
        <f>E23/C23</f>
        <v>0.66666666666666674</v>
      </c>
    </row>
    <row r="24" spans="1:6" ht="15" customHeight="1" x14ac:dyDescent="0.2">
      <c r="A24" s="6" t="s">
        <v>97</v>
      </c>
      <c r="B24" s="8">
        <v>2000</v>
      </c>
      <c r="C24" s="7">
        <f>B24*$B$12</f>
        <v>110.40000000000002</v>
      </c>
      <c r="D24" s="7">
        <f>B24*$B$7</f>
        <v>36.800000000000004</v>
      </c>
      <c r="E24" s="7">
        <f>C24-D24</f>
        <v>73.600000000000023</v>
      </c>
      <c r="F24" s="28">
        <f>E24/C24</f>
        <v>0.66666666666666674</v>
      </c>
    </row>
    <row r="25" spans="1:6" ht="15" customHeight="1" x14ac:dyDescent="0.2">
      <c r="A25" s="9" t="s">
        <v>98</v>
      </c>
      <c r="B25" s="11">
        <v>5000</v>
      </c>
      <c r="C25" s="10">
        <f>B25*$B$12</f>
        <v>276.00000000000006</v>
      </c>
      <c r="D25" s="10">
        <f>B25*$B$7</f>
        <v>92.000000000000014</v>
      </c>
      <c r="E25" s="10">
        <f>C25-D25</f>
        <v>184.00000000000006</v>
      </c>
      <c r="F25" s="27">
        <f>E25/C25</f>
        <v>0.66666666666666674</v>
      </c>
    </row>
    <row r="26" spans="1:6" ht="15" customHeight="1" x14ac:dyDescent="0.2">
      <c r="A26" s="6" t="s">
        <v>99</v>
      </c>
      <c r="B26" s="8">
        <v>15000</v>
      </c>
      <c r="C26" s="7">
        <f>B26*$B$12</f>
        <v>828.00000000000023</v>
      </c>
      <c r="D26" s="7">
        <f>B26*$B$7</f>
        <v>276.00000000000006</v>
      </c>
      <c r="E26" s="7">
        <f>C26-D26</f>
        <v>552.00000000000023</v>
      </c>
      <c r="F26" s="28">
        <f>E26/C26</f>
        <v>0.66666666666666674</v>
      </c>
    </row>
    <row r="27" spans="1:6" ht="15" customHeight="1" x14ac:dyDescent="0.2">
      <c r="A27" s="9" t="s">
        <v>100</v>
      </c>
      <c r="B27" s="11">
        <v>50000</v>
      </c>
      <c r="C27" s="10">
        <f>B27*$B$12</f>
        <v>2760.0000000000005</v>
      </c>
      <c r="D27" s="10">
        <f>B27*$B$7</f>
        <v>920.00000000000011</v>
      </c>
      <c r="E27" s="10">
        <f>C27-D27</f>
        <v>1840.0000000000005</v>
      </c>
      <c r="F27" s="27">
        <f>E27/C27</f>
        <v>0.66666666666666674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4"/>
  <sheetViews>
    <sheetView topLeftCell="A11" zoomScale="163" zoomScaleNormal="100" workbookViewId="0">
      <selection activeCell="G37" sqref="G37"/>
    </sheetView>
  </sheetViews>
  <sheetFormatPr baseColWidth="10" defaultColWidth="8.6640625" defaultRowHeight="15" x14ac:dyDescent="0.2"/>
  <cols>
    <col min="1" max="1" width="26.83203125" customWidth="1"/>
    <col min="2" max="2" width="14" customWidth="1"/>
    <col min="3" max="3" width="8" customWidth="1"/>
    <col min="4" max="4" width="10" customWidth="1"/>
    <col min="5" max="5" width="14" customWidth="1"/>
    <col min="6" max="6" width="10" customWidth="1"/>
    <col min="7" max="10" width="18" customWidth="1"/>
    <col min="11" max="12" width="12" customWidth="1"/>
  </cols>
  <sheetData>
    <row r="1" spans="1:21" ht="17.25" customHeight="1" x14ac:dyDescent="0.3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15" customHeight="1" x14ac:dyDescent="0.3">
      <c r="A3" s="12" t="s">
        <v>102</v>
      </c>
    </row>
    <row r="4" spans="1:21" ht="15" customHeight="1" x14ac:dyDescent="0.2">
      <c r="A4" s="3" t="s">
        <v>103</v>
      </c>
      <c r="B4" s="26">
        <v>0.75</v>
      </c>
    </row>
    <row r="5" spans="1:21" ht="15" customHeight="1" x14ac:dyDescent="0.2">
      <c r="A5" s="3" t="s">
        <v>104</v>
      </c>
      <c r="B5" s="20">
        <v>840</v>
      </c>
    </row>
    <row r="6" spans="1:21" ht="15" customHeight="1" x14ac:dyDescent="0.2">
      <c r="A6" s="3" t="s">
        <v>105</v>
      </c>
      <c r="B6" s="19">
        <v>0.3</v>
      </c>
    </row>
    <row r="7" spans="1:21" ht="15" customHeight="1" x14ac:dyDescent="0.2">
      <c r="A7" s="3" t="s">
        <v>106</v>
      </c>
      <c r="B7" s="15">
        <v>512</v>
      </c>
    </row>
    <row r="8" spans="1:21" ht="15" customHeight="1" x14ac:dyDescent="0.2">
      <c r="A8" s="3" t="s">
        <v>107</v>
      </c>
      <c r="B8" s="29">
        <v>0.2</v>
      </c>
    </row>
    <row r="9" spans="1:21" ht="15" customHeight="1" x14ac:dyDescent="0.2">
      <c r="A9" s="3" t="s">
        <v>108</v>
      </c>
      <c r="B9" s="29">
        <v>0.2</v>
      </c>
    </row>
    <row r="10" spans="1:21" ht="15" customHeight="1" x14ac:dyDescent="0.2">
      <c r="A10" s="3" t="s">
        <v>1</v>
      </c>
      <c r="B10" s="25">
        <f>'Catalogue LLM'!B2</f>
        <v>0.92</v>
      </c>
    </row>
    <row r="12" spans="1:21" ht="15" customHeight="1" x14ac:dyDescent="0.3">
      <c r="A12" s="12" t="s">
        <v>109</v>
      </c>
    </row>
    <row r="13" spans="1:21" ht="15" customHeight="1" x14ac:dyDescent="0.2">
      <c r="A13" s="3" t="s">
        <v>110</v>
      </c>
      <c r="B13" s="14">
        <f>73*B10</f>
        <v>67.16</v>
      </c>
    </row>
    <row r="14" spans="1:21" ht="15" customHeight="1" x14ac:dyDescent="0.2">
      <c r="A14" s="3" t="s">
        <v>111</v>
      </c>
      <c r="B14" s="14">
        <f>25*B10</f>
        <v>23</v>
      </c>
    </row>
    <row r="15" spans="1:21" ht="15" customHeight="1" x14ac:dyDescent="0.2">
      <c r="A15" s="3" t="s">
        <v>112</v>
      </c>
      <c r="B15" s="14">
        <f>35*B10</f>
        <v>32.200000000000003</v>
      </c>
    </row>
    <row r="16" spans="1:21" ht="15" customHeight="1" x14ac:dyDescent="0.2">
      <c r="A16" s="3" t="s">
        <v>113</v>
      </c>
      <c r="B16" s="14">
        <f>25*B10</f>
        <v>23</v>
      </c>
    </row>
    <row r="17" spans="1:12" ht="15" customHeight="1" x14ac:dyDescent="0.2">
      <c r="A17" s="3" t="s">
        <v>114</v>
      </c>
      <c r="B17" s="14">
        <f>15*B10</f>
        <v>13.8</v>
      </c>
    </row>
    <row r="18" spans="1:12" ht="15" customHeight="1" x14ac:dyDescent="0.2">
      <c r="A18" s="3" t="s">
        <v>115</v>
      </c>
      <c r="B18" s="14">
        <f>SUM(B13:B17)</f>
        <v>159.16000000000003</v>
      </c>
    </row>
    <row r="20" spans="1:12" ht="15" customHeight="1" x14ac:dyDescent="0.3">
      <c r="A20" s="12" t="s">
        <v>116</v>
      </c>
    </row>
    <row r="21" spans="1:12" ht="15" customHeight="1" x14ac:dyDescent="0.2">
      <c r="A21" s="5" t="s">
        <v>117</v>
      </c>
      <c r="B21" s="5" t="s">
        <v>118</v>
      </c>
      <c r="C21" s="5" t="s">
        <v>119</v>
      </c>
      <c r="D21" s="5" t="s">
        <v>120</v>
      </c>
      <c r="E21" s="5" t="s">
        <v>121</v>
      </c>
      <c r="F21" s="5" t="s">
        <v>122</v>
      </c>
      <c r="G21" s="5" t="s">
        <v>123</v>
      </c>
      <c r="H21" s="5" t="s">
        <v>124</v>
      </c>
      <c r="I21" s="5" t="s">
        <v>125</v>
      </c>
      <c r="J21" s="5" t="s">
        <v>126</v>
      </c>
      <c r="K21" s="5" t="s">
        <v>127</v>
      </c>
      <c r="L21" s="5" t="s">
        <v>128</v>
      </c>
    </row>
    <row r="22" spans="1:12" ht="15" customHeight="1" x14ac:dyDescent="0.2">
      <c r="A22" s="8">
        <v>5</v>
      </c>
      <c r="B22" s="6" t="s">
        <v>129</v>
      </c>
      <c r="C22" s="8">
        <v>2</v>
      </c>
      <c r="D22" s="8">
        <v>2</v>
      </c>
      <c r="E22" s="18">
        <f>0.0168*$B$10</f>
        <v>1.5455999999999999E-2</v>
      </c>
      <c r="F22" s="8">
        <f t="shared" ref="F22:F34" si="0">CEILING(A22*$B$6*(1+$B$8)/(C22-$B$4),1)</f>
        <v>2</v>
      </c>
      <c r="G22" s="7">
        <f t="shared" ref="G22:G34" si="1">F22*E22*730</f>
        <v>22.565759999999997</v>
      </c>
      <c r="H22" s="7">
        <f t="shared" ref="H22:H34" si="2">$B$18</f>
        <v>159.16000000000003</v>
      </c>
      <c r="I22" s="7">
        <f t="shared" ref="I22:I34" si="3">G22+H22</f>
        <v>181.72576000000004</v>
      </c>
      <c r="J22" s="7">
        <f t="shared" ref="J22:J34" si="4">I22/A22</f>
        <v>36.345152000000006</v>
      </c>
      <c r="K22" s="28">
        <f t="shared" ref="K22:K34" si="5">A22*$B$6/(F22*(C22-$B$4))</f>
        <v>0.6</v>
      </c>
      <c r="L22" s="28">
        <f t="shared" ref="L22:L34" si="6">A22*$B$7/(F22*(D22*1024-$B$5))</f>
        <v>1.0596026490066226</v>
      </c>
    </row>
    <row r="23" spans="1:12" ht="15" customHeight="1" x14ac:dyDescent="0.2">
      <c r="A23" s="11">
        <v>10</v>
      </c>
      <c r="B23" s="9" t="s">
        <v>129</v>
      </c>
      <c r="C23" s="11">
        <v>2</v>
      </c>
      <c r="D23" s="11">
        <v>2</v>
      </c>
      <c r="E23" s="17">
        <f>0.0168*$B$10</f>
        <v>1.5455999999999999E-2</v>
      </c>
      <c r="F23" s="11">
        <f t="shared" si="0"/>
        <v>3</v>
      </c>
      <c r="G23" s="10">
        <f t="shared" si="1"/>
        <v>33.848640000000003</v>
      </c>
      <c r="H23" s="10">
        <f t="shared" si="2"/>
        <v>159.16000000000003</v>
      </c>
      <c r="I23" s="10">
        <f t="shared" si="3"/>
        <v>193.00864000000001</v>
      </c>
      <c r="J23" s="10">
        <f t="shared" si="4"/>
        <v>19.300864000000001</v>
      </c>
      <c r="K23" s="27">
        <f t="shared" si="5"/>
        <v>0.8</v>
      </c>
      <c r="L23" s="27">
        <f t="shared" si="6"/>
        <v>1.4128035320088301</v>
      </c>
    </row>
    <row r="24" spans="1:12" ht="15" customHeight="1" x14ac:dyDescent="0.2">
      <c r="A24" s="8">
        <v>20</v>
      </c>
      <c r="B24" s="6" t="s">
        <v>60</v>
      </c>
      <c r="C24" s="8">
        <v>2</v>
      </c>
      <c r="D24" s="8">
        <v>4</v>
      </c>
      <c r="E24" s="18">
        <f>0.0336*$B$10</f>
        <v>3.0911999999999999E-2</v>
      </c>
      <c r="F24" s="8">
        <f t="shared" si="0"/>
        <v>6</v>
      </c>
      <c r="G24" s="7">
        <f t="shared" si="1"/>
        <v>135.39456000000001</v>
      </c>
      <c r="H24" s="7">
        <f t="shared" si="2"/>
        <v>159.16000000000003</v>
      </c>
      <c r="I24" s="7">
        <f t="shared" si="3"/>
        <v>294.55456000000004</v>
      </c>
      <c r="J24" s="7">
        <f t="shared" si="4"/>
        <v>14.727728000000003</v>
      </c>
      <c r="K24" s="28">
        <f t="shared" si="5"/>
        <v>0.8</v>
      </c>
      <c r="L24" s="28">
        <f t="shared" si="6"/>
        <v>0.52416052416052417</v>
      </c>
    </row>
    <row r="25" spans="1:12" ht="15" customHeight="1" x14ac:dyDescent="0.2">
      <c r="A25" s="11">
        <v>30</v>
      </c>
      <c r="B25" s="9" t="s">
        <v>60</v>
      </c>
      <c r="C25" s="11">
        <v>2</v>
      </c>
      <c r="D25" s="11">
        <v>4</v>
      </c>
      <c r="E25" s="17">
        <f>0.0336*$B$10</f>
        <v>3.0911999999999999E-2</v>
      </c>
      <c r="F25" s="11">
        <f t="shared" si="0"/>
        <v>9</v>
      </c>
      <c r="G25" s="10">
        <f t="shared" si="1"/>
        <v>203.09184000000002</v>
      </c>
      <c r="H25" s="10">
        <f t="shared" si="2"/>
        <v>159.16000000000003</v>
      </c>
      <c r="I25" s="10">
        <f t="shared" si="3"/>
        <v>362.25184000000002</v>
      </c>
      <c r="J25" s="10">
        <f t="shared" si="4"/>
        <v>12.075061333333334</v>
      </c>
      <c r="K25" s="27">
        <f t="shared" si="5"/>
        <v>0.8</v>
      </c>
      <c r="L25" s="27">
        <f t="shared" si="6"/>
        <v>0.52416052416052417</v>
      </c>
    </row>
    <row r="26" spans="1:12" ht="15" customHeight="1" x14ac:dyDescent="0.2">
      <c r="A26" s="8">
        <v>50</v>
      </c>
      <c r="B26" s="6" t="s">
        <v>60</v>
      </c>
      <c r="C26" s="8">
        <v>2</v>
      </c>
      <c r="D26" s="8">
        <v>4</v>
      </c>
      <c r="E26" s="18">
        <f>0.0336*$B$10</f>
        <v>3.0911999999999999E-2</v>
      </c>
      <c r="F26" s="8">
        <f t="shared" si="0"/>
        <v>15</v>
      </c>
      <c r="G26" s="7">
        <f t="shared" si="1"/>
        <v>338.4864</v>
      </c>
      <c r="H26" s="7">
        <f t="shared" si="2"/>
        <v>159.16000000000003</v>
      </c>
      <c r="I26" s="7">
        <f t="shared" si="3"/>
        <v>497.64640000000003</v>
      </c>
      <c r="J26" s="7">
        <f t="shared" si="4"/>
        <v>9.952928</v>
      </c>
      <c r="K26" s="28">
        <f t="shared" si="5"/>
        <v>0.8</v>
      </c>
      <c r="L26" s="28">
        <f t="shared" si="6"/>
        <v>0.52416052416052417</v>
      </c>
    </row>
    <row r="27" spans="1:12" ht="15" customHeight="1" x14ac:dyDescent="0.2">
      <c r="A27" s="11">
        <v>75</v>
      </c>
      <c r="B27" s="9" t="s">
        <v>130</v>
      </c>
      <c r="C27" s="11">
        <v>2</v>
      </c>
      <c r="D27" s="11">
        <v>8</v>
      </c>
      <c r="E27" s="17">
        <f>0.0672*$B$10</f>
        <v>6.1823999999999997E-2</v>
      </c>
      <c r="F27" s="11">
        <f t="shared" si="0"/>
        <v>22</v>
      </c>
      <c r="G27" s="10">
        <f t="shared" si="1"/>
        <v>992.89344000000006</v>
      </c>
      <c r="H27" s="10">
        <f t="shared" si="2"/>
        <v>159.16000000000003</v>
      </c>
      <c r="I27" s="10">
        <f t="shared" si="3"/>
        <v>1152.0534400000001</v>
      </c>
      <c r="J27" s="10">
        <f t="shared" si="4"/>
        <v>15.360712533333334</v>
      </c>
      <c r="K27" s="27">
        <f t="shared" si="5"/>
        <v>0.81818181818181823</v>
      </c>
      <c r="L27" s="27">
        <f t="shared" si="6"/>
        <v>0.23741220694430706</v>
      </c>
    </row>
    <row r="28" spans="1:12" ht="15" customHeight="1" x14ac:dyDescent="0.2">
      <c r="A28" s="8">
        <v>100</v>
      </c>
      <c r="B28" s="6" t="s">
        <v>130</v>
      </c>
      <c r="C28" s="8">
        <v>2</v>
      </c>
      <c r="D28" s="8">
        <v>8</v>
      </c>
      <c r="E28" s="18">
        <f>0.0672*$B$10</f>
        <v>6.1823999999999997E-2</v>
      </c>
      <c r="F28" s="8">
        <f t="shared" si="0"/>
        <v>29</v>
      </c>
      <c r="G28" s="7">
        <f t="shared" si="1"/>
        <v>1308.8140799999999</v>
      </c>
      <c r="H28" s="7">
        <f t="shared" si="2"/>
        <v>159.16000000000003</v>
      </c>
      <c r="I28" s="7">
        <f t="shared" si="3"/>
        <v>1467.97408</v>
      </c>
      <c r="J28" s="7">
        <f t="shared" si="4"/>
        <v>14.679740799999999</v>
      </c>
      <c r="K28" s="28">
        <f t="shared" si="5"/>
        <v>0.82758620689655171</v>
      </c>
      <c r="L28" s="28">
        <f t="shared" si="6"/>
        <v>0.24014108288619565</v>
      </c>
    </row>
    <row r="29" spans="1:12" ht="15" customHeight="1" x14ac:dyDescent="0.2">
      <c r="A29" s="11">
        <v>150</v>
      </c>
      <c r="B29" s="9" t="s">
        <v>131</v>
      </c>
      <c r="C29" s="11">
        <v>4</v>
      </c>
      <c r="D29" s="11">
        <v>16</v>
      </c>
      <c r="E29" s="17">
        <f>0.1344*$B$10</f>
        <v>0.12364799999999999</v>
      </c>
      <c r="F29" s="11">
        <f t="shared" si="0"/>
        <v>17</v>
      </c>
      <c r="G29" s="10">
        <f t="shared" si="1"/>
        <v>1534.4716799999999</v>
      </c>
      <c r="H29" s="10">
        <f t="shared" si="2"/>
        <v>159.16000000000003</v>
      </c>
      <c r="I29" s="10">
        <f t="shared" si="3"/>
        <v>1693.63168</v>
      </c>
      <c r="J29" s="10">
        <f t="shared" si="4"/>
        <v>11.290877866666666</v>
      </c>
      <c r="K29" s="27">
        <f t="shared" si="5"/>
        <v>0.81447963800904977</v>
      </c>
      <c r="L29" s="27">
        <f t="shared" si="6"/>
        <v>0.29063606914716478</v>
      </c>
    </row>
    <row r="30" spans="1:12" ht="15" customHeight="1" x14ac:dyDescent="0.2">
      <c r="A30" s="8">
        <v>200</v>
      </c>
      <c r="B30" s="6" t="s">
        <v>131</v>
      </c>
      <c r="C30" s="8">
        <v>4</v>
      </c>
      <c r="D30" s="8">
        <v>16</v>
      </c>
      <c r="E30" s="18">
        <f>0.1344*$B$10</f>
        <v>0.12364799999999999</v>
      </c>
      <c r="F30" s="8">
        <f t="shared" si="0"/>
        <v>23</v>
      </c>
      <c r="G30" s="7">
        <f t="shared" si="1"/>
        <v>2076.0499199999999</v>
      </c>
      <c r="H30" s="7">
        <f t="shared" si="2"/>
        <v>159.16000000000003</v>
      </c>
      <c r="I30" s="7">
        <f t="shared" si="3"/>
        <v>2235.2099199999998</v>
      </c>
      <c r="J30" s="7">
        <f t="shared" si="4"/>
        <v>11.176049599999999</v>
      </c>
      <c r="K30" s="28">
        <f t="shared" si="5"/>
        <v>0.80267558528428096</v>
      </c>
      <c r="L30" s="28">
        <f t="shared" si="6"/>
        <v>0.28642395220300298</v>
      </c>
    </row>
    <row r="31" spans="1:12" ht="15" customHeight="1" x14ac:dyDescent="0.2">
      <c r="A31" s="11">
        <v>300</v>
      </c>
      <c r="B31" s="9" t="s">
        <v>132</v>
      </c>
      <c r="C31" s="11">
        <v>4</v>
      </c>
      <c r="D31" s="11">
        <v>16</v>
      </c>
      <c r="E31" s="17">
        <f>0.1632*$B$10</f>
        <v>0.15014400000000003</v>
      </c>
      <c r="F31" s="11">
        <f t="shared" si="0"/>
        <v>34</v>
      </c>
      <c r="G31" s="10">
        <f t="shared" si="1"/>
        <v>3726.5740800000008</v>
      </c>
      <c r="H31" s="10">
        <f t="shared" si="2"/>
        <v>159.16000000000003</v>
      </c>
      <c r="I31" s="10">
        <f t="shared" si="3"/>
        <v>3885.7340800000006</v>
      </c>
      <c r="J31" s="10">
        <f t="shared" si="4"/>
        <v>12.952446933333336</v>
      </c>
      <c r="K31" s="27">
        <f t="shared" si="5"/>
        <v>0.81447963800904977</v>
      </c>
      <c r="L31" s="27">
        <f t="shared" si="6"/>
        <v>0.29063606914716478</v>
      </c>
    </row>
    <row r="32" spans="1:12" ht="15" customHeight="1" x14ac:dyDescent="0.2">
      <c r="A32" s="8">
        <v>500</v>
      </c>
      <c r="B32" s="6" t="s">
        <v>132</v>
      </c>
      <c r="C32" s="8">
        <v>4</v>
      </c>
      <c r="D32" s="8">
        <v>16</v>
      </c>
      <c r="E32" s="18">
        <f>0.1632*$B$10</f>
        <v>0.15014400000000003</v>
      </c>
      <c r="F32" s="8">
        <f t="shared" si="0"/>
        <v>56</v>
      </c>
      <c r="G32" s="7">
        <f t="shared" si="1"/>
        <v>6137.8867200000013</v>
      </c>
      <c r="H32" s="7">
        <f t="shared" si="2"/>
        <v>159.16000000000003</v>
      </c>
      <c r="I32" s="7">
        <f t="shared" si="3"/>
        <v>6297.0467200000012</v>
      </c>
      <c r="J32" s="7">
        <f t="shared" si="4"/>
        <v>12.594093440000002</v>
      </c>
      <c r="K32" s="28">
        <f t="shared" si="5"/>
        <v>0.82417582417582413</v>
      </c>
      <c r="L32" s="28">
        <f t="shared" si="6"/>
        <v>0.29409602235129773</v>
      </c>
    </row>
    <row r="33" spans="1:12" ht="15" customHeight="1" x14ac:dyDescent="0.2">
      <c r="A33" s="11">
        <v>750</v>
      </c>
      <c r="B33" s="9" t="s">
        <v>133</v>
      </c>
      <c r="C33" s="11">
        <v>8</v>
      </c>
      <c r="D33" s="11">
        <v>32</v>
      </c>
      <c r="E33" s="17">
        <f>0.3264*$B$10</f>
        <v>0.30028800000000005</v>
      </c>
      <c r="F33" s="11">
        <f t="shared" si="0"/>
        <v>38</v>
      </c>
      <c r="G33" s="10">
        <f t="shared" si="1"/>
        <v>8329.989120000002</v>
      </c>
      <c r="H33" s="10">
        <f t="shared" si="2"/>
        <v>159.16000000000003</v>
      </c>
      <c r="I33" s="10">
        <f t="shared" si="3"/>
        <v>8489.1491200000019</v>
      </c>
      <c r="J33" s="10">
        <f t="shared" si="4"/>
        <v>11.318865493333336</v>
      </c>
      <c r="K33" s="27">
        <f t="shared" si="5"/>
        <v>0.81669691470054451</v>
      </c>
      <c r="L33" s="27">
        <f t="shared" si="6"/>
        <v>0.31650160228936158</v>
      </c>
    </row>
    <row r="34" spans="1:12" ht="15" customHeight="1" x14ac:dyDescent="0.2">
      <c r="A34" s="8">
        <v>1000</v>
      </c>
      <c r="B34" s="6" t="s">
        <v>133</v>
      </c>
      <c r="C34" s="8">
        <v>8</v>
      </c>
      <c r="D34" s="8">
        <v>32</v>
      </c>
      <c r="E34" s="18">
        <f>0.3264*$B$10</f>
        <v>0.30028800000000005</v>
      </c>
      <c r="F34" s="8">
        <f t="shared" si="0"/>
        <v>50</v>
      </c>
      <c r="G34" s="7">
        <f t="shared" si="1"/>
        <v>10960.512000000001</v>
      </c>
      <c r="H34" s="7">
        <f t="shared" si="2"/>
        <v>159.16000000000003</v>
      </c>
      <c r="I34" s="7">
        <f t="shared" si="3"/>
        <v>11119.672</v>
      </c>
      <c r="J34" s="7">
        <f t="shared" si="4"/>
        <v>11.119672000000001</v>
      </c>
      <c r="K34" s="28">
        <f t="shared" si="5"/>
        <v>0.82758620689655171</v>
      </c>
      <c r="L34" s="28">
        <f t="shared" si="6"/>
        <v>0.32072162365321977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tabSelected="1" topLeftCell="A4" zoomScale="150" zoomScaleNormal="100" workbookViewId="0">
      <selection activeCell="C10" sqref="C10"/>
    </sheetView>
  </sheetViews>
  <sheetFormatPr baseColWidth="10" defaultColWidth="8.6640625" defaultRowHeight="15" x14ac:dyDescent="0.2"/>
  <cols>
    <col min="1" max="1" width="36" customWidth="1"/>
    <col min="2" max="7" width="16" customWidth="1"/>
  </cols>
  <sheetData>
    <row r="1" spans="1:8" ht="22" x14ac:dyDescent="0.2">
      <c r="A1" s="30" t="s">
        <v>134</v>
      </c>
      <c r="B1" s="2"/>
      <c r="C1" s="2"/>
      <c r="D1" s="2"/>
      <c r="E1" s="2"/>
      <c r="F1" s="2"/>
      <c r="G1" s="2"/>
      <c r="H1" s="2"/>
    </row>
    <row r="2" spans="1:8" x14ac:dyDescent="0.2">
      <c r="A2" s="31" t="s">
        <v>135</v>
      </c>
    </row>
    <row r="4" spans="1:8" ht="18" x14ac:dyDescent="0.2">
      <c r="A4" s="5"/>
      <c r="B4" s="32" t="s">
        <v>136</v>
      </c>
      <c r="C4" s="32" t="s">
        <v>98</v>
      </c>
      <c r="D4" s="32" t="s">
        <v>99</v>
      </c>
      <c r="E4" s="32" t="s">
        <v>137</v>
      </c>
      <c r="F4" s="32" t="s">
        <v>138</v>
      </c>
      <c r="G4" s="32" t="s">
        <v>139</v>
      </c>
    </row>
    <row r="5" spans="1:8" ht="19" x14ac:dyDescent="0.2">
      <c r="A5" s="33" t="s">
        <v>140</v>
      </c>
    </row>
    <row r="6" spans="1:8" ht="17" x14ac:dyDescent="0.2">
      <c r="A6" s="34" t="s">
        <v>141</v>
      </c>
      <c r="B6" s="35">
        <v>29</v>
      </c>
      <c r="C6" s="35">
        <v>79</v>
      </c>
      <c r="D6" s="35">
        <v>199</v>
      </c>
      <c r="E6" s="36">
        <v>699</v>
      </c>
      <c r="F6" s="36"/>
      <c r="G6" s="36"/>
    </row>
    <row r="7" spans="1:8" ht="17" x14ac:dyDescent="0.2">
      <c r="A7" s="37" t="s">
        <v>142</v>
      </c>
      <c r="B7" s="38">
        <v>1000</v>
      </c>
      <c r="C7" s="38">
        <v>5000</v>
      </c>
      <c r="D7" s="38">
        <v>25000</v>
      </c>
      <c r="E7" s="36">
        <v>100000</v>
      </c>
      <c r="F7" s="36"/>
      <c r="G7" s="36"/>
    </row>
    <row r="8" spans="1:8" ht="17" x14ac:dyDescent="0.2">
      <c r="A8" s="37" t="s">
        <v>143</v>
      </c>
      <c r="B8" s="38">
        <v>200</v>
      </c>
      <c r="C8" s="38">
        <v>1000</v>
      </c>
      <c r="D8" s="38">
        <v>5000</v>
      </c>
      <c r="E8" s="36">
        <v>25000</v>
      </c>
      <c r="F8" s="36"/>
      <c r="G8" s="36"/>
    </row>
    <row r="9" spans="1:8" ht="17" x14ac:dyDescent="0.2">
      <c r="A9" s="37" t="s">
        <v>144</v>
      </c>
      <c r="B9" s="38">
        <v>0</v>
      </c>
      <c r="C9" s="38">
        <v>0</v>
      </c>
      <c r="D9" s="38">
        <v>0</v>
      </c>
      <c r="E9" s="36"/>
      <c r="F9" s="36"/>
      <c r="G9" s="36"/>
    </row>
    <row r="10" spans="1:8" ht="17" x14ac:dyDescent="0.2">
      <c r="A10" s="37" t="s">
        <v>145</v>
      </c>
      <c r="B10" s="38">
        <v>0</v>
      </c>
      <c r="C10" s="38">
        <v>0</v>
      </c>
      <c r="D10" s="38">
        <v>0</v>
      </c>
      <c r="E10" s="36"/>
      <c r="F10" s="36"/>
      <c r="G10" s="36"/>
    </row>
    <row r="12" spans="1:8" ht="19" x14ac:dyDescent="0.2">
      <c r="A12" s="33" t="s">
        <v>146</v>
      </c>
    </row>
    <row r="13" spans="1:8" ht="17" x14ac:dyDescent="0.2">
      <c r="A13" s="37" t="s">
        <v>147</v>
      </c>
      <c r="B13" s="39">
        <f>IF(B6="","",('Credits Kinn'!$B$7*'Credits Kinn'!$B$10*'Credits Kinn'!$B$19))</f>
        <v>3.864000000000001E-5</v>
      </c>
      <c r="C13" s="39">
        <f>IF(C6="","",('Credits Kinn'!$B$7*'Credits Kinn'!$B$10*'Credits Kinn'!$B$19))</f>
        <v>3.864000000000001E-5</v>
      </c>
      <c r="D13" s="39">
        <f>IF(D6="","",('Credits Kinn'!$B$7*'Credits Kinn'!$B$10*'Credits Kinn'!$B$19))</f>
        <v>3.864000000000001E-5</v>
      </c>
      <c r="E13" s="39">
        <f>IF(E6="","",('Credits Kinn'!$B$7*'Credits Kinn'!$B$10*'Credits Kinn'!$B$19))</f>
        <v>3.864000000000001E-5</v>
      </c>
      <c r="F13" s="39" t="str">
        <f>IF(F6="","",('Credits Kinn'!$B$7*'Credits Kinn'!$B$10*'Credits Kinn'!$B$19))</f>
        <v/>
      </c>
      <c r="G13" s="39" t="str">
        <f>IF(G6="","",('Credits Kinn'!$B$7*'Credits Kinn'!$B$10*'Credits Kinn'!$B$19))</f>
        <v/>
      </c>
    </row>
    <row r="14" spans="1:8" ht="17" x14ac:dyDescent="0.2">
      <c r="A14" s="37" t="s">
        <v>148</v>
      </c>
      <c r="B14" s="39">
        <f>IF(B6="","",('Credits Kinn'!$B$12))</f>
        <v>5.5200000000000013E-2</v>
      </c>
      <c r="C14" s="39">
        <f>IF(C6="","",('Credits Kinn'!$B$12))</f>
        <v>5.5200000000000013E-2</v>
      </c>
      <c r="D14" s="39">
        <f>IF(D6="","",('Credits Kinn'!$B$12))</f>
        <v>5.5200000000000013E-2</v>
      </c>
      <c r="E14" s="39">
        <f>IF(E6="","",('Credits Kinn'!$B$12))</f>
        <v>5.5200000000000013E-2</v>
      </c>
      <c r="F14" s="39" t="str">
        <f>IF(F6="","",('Credits Kinn'!$B$12))</f>
        <v/>
      </c>
      <c r="G14" s="39" t="str">
        <f>IF(G6="","",('Credits Kinn'!$B$12))</f>
        <v/>
      </c>
    </row>
    <row r="15" spans="1:8" ht="17" x14ac:dyDescent="0.2">
      <c r="A15" s="40" t="s">
        <v>149</v>
      </c>
      <c r="B15" s="41">
        <f t="shared" ref="B15:G15" si="0">IF(B6="","",B9*B13+B10*B14)</f>
        <v>0</v>
      </c>
      <c r="C15" s="41">
        <f t="shared" si="0"/>
        <v>0</v>
      </c>
      <c r="D15" s="41">
        <f t="shared" si="0"/>
        <v>0</v>
      </c>
      <c r="E15" s="41">
        <f t="shared" si="0"/>
        <v>0</v>
      </c>
      <c r="F15" s="41" t="str">
        <f t="shared" si="0"/>
        <v/>
      </c>
      <c r="G15" s="41" t="str">
        <f t="shared" si="0"/>
        <v/>
      </c>
    </row>
    <row r="16" spans="1:8" ht="17" x14ac:dyDescent="0.2">
      <c r="A16" s="42" t="s">
        <v>150</v>
      </c>
      <c r="B16" s="43">
        <f t="shared" ref="B16:G16" si="1">IF(B6="","",B6+B15)</f>
        <v>29</v>
      </c>
      <c r="C16" s="43">
        <f t="shared" si="1"/>
        <v>79</v>
      </c>
      <c r="D16" s="43">
        <f t="shared" si="1"/>
        <v>199</v>
      </c>
      <c r="E16" s="43">
        <f t="shared" si="1"/>
        <v>699</v>
      </c>
      <c r="F16" s="43" t="str">
        <f t="shared" si="1"/>
        <v/>
      </c>
      <c r="G16" s="43" t="str">
        <f t="shared" si="1"/>
        <v/>
      </c>
    </row>
    <row r="18" spans="1:7" ht="19" x14ac:dyDescent="0.2">
      <c r="A18" s="33" t="s">
        <v>151</v>
      </c>
    </row>
    <row r="19" spans="1:7" ht="17" x14ac:dyDescent="0.2">
      <c r="A19" s="37" t="s">
        <v>152</v>
      </c>
      <c r="B19" s="39">
        <f>IF(B6="","",(B7+B9)*Execution!$B$14)</f>
        <v>1.2880000000000003E-2</v>
      </c>
      <c r="C19" s="39">
        <f>IF(C6="","",(C7+C9)*Execution!$B$14)</f>
        <v>6.4400000000000013E-2</v>
      </c>
      <c r="D19" s="39">
        <f>IF(D6="","",(D7+D9)*Execution!$B$14)</f>
        <v>0.32200000000000006</v>
      </c>
      <c r="E19" s="39">
        <f>IF(E6="","",(E7+E9)*Execution!$B$14)</f>
        <v>1.2880000000000003</v>
      </c>
      <c r="F19" s="39" t="str">
        <f>IF(F6="","",(F7+F9)*Execution!$B$14)</f>
        <v/>
      </c>
      <c r="G19" s="39" t="str">
        <f>IF(G6="","",(G7+G9)*Execution!$B$14)</f>
        <v/>
      </c>
    </row>
    <row r="20" spans="1:7" ht="17" x14ac:dyDescent="0.2">
      <c r="A20" s="37" t="s">
        <v>153</v>
      </c>
      <c r="B20" s="44">
        <f>IF(B6="","",(B8+B10)*'Credits Kinn'!$B$7)</f>
        <v>3.6800000000000006</v>
      </c>
      <c r="C20" s="44">
        <f>IF(C6="","",(C8+C10)*'Credits Kinn'!$B$7)</f>
        <v>18.400000000000002</v>
      </c>
      <c r="D20" s="44">
        <f>IF(D6="","",(D8+D10)*'Credits Kinn'!$B$7)</f>
        <v>92.000000000000014</v>
      </c>
      <c r="E20" s="44">
        <f>IF(E6="","",(E8+E10)*'Credits Kinn'!$B$7)</f>
        <v>460.00000000000006</v>
      </c>
      <c r="F20" s="44" t="str">
        <f>IF(F6="","",(F8+F10)*'Credits Kinn'!$B$7)</f>
        <v/>
      </c>
      <c r="G20" s="44" t="str">
        <f>IF(G6="","",(G8+G10)*'Credits Kinn'!$B$7)</f>
        <v/>
      </c>
    </row>
    <row r="21" spans="1:7" ht="17" x14ac:dyDescent="0.2">
      <c r="A21" s="40" t="s">
        <v>154</v>
      </c>
      <c r="B21" s="41">
        <f t="shared" ref="B21:G21" si="2">IF(B6="","",B19+B20)</f>
        <v>3.6928800000000006</v>
      </c>
      <c r="C21" s="41">
        <f t="shared" si="2"/>
        <v>18.464400000000001</v>
      </c>
      <c r="D21" s="41">
        <f t="shared" si="2"/>
        <v>92.322000000000017</v>
      </c>
      <c r="E21" s="41">
        <f t="shared" si="2"/>
        <v>461.28800000000007</v>
      </c>
      <c r="F21" s="41" t="str">
        <f t="shared" si="2"/>
        <v/>
      </c>
      <c r="G21" s="41" t="str">
        <f t="shared" si="2"/>
        <v/>
      </c>
    </row>
    <row r="23" spans="1:7" ht="19" x14ac:dyDescent="0.2">
      <c r="A23" s="33" t="s">
        <v>155</v>
      </c>
    </row>
    <row r="24" spans="1:7" ht="17" x14ac:dyDescent="0.2">
      <c r="A24" s="45" t="s">
        <v>156</v>
      </c>
      <c r="B24" s="46">
        <f t="shared" ref="B24:G24" si="3">IF(B6="","",B16-B21)</f>
        <v>25.307119999999998</v>
      </c>
      <c r="C24" s="46">
        <f t="shared" si="3"/>
        <v>60.535600000000002</v>
      </c>
      <c r="D24" s="46">
        <f t="shared" si="3"/>
        <v>106.67799999999998</v>
      </c>
      <c r="E24" s="46">
        <f t="shared" si="3"/>
        <v>237.71199999999993</v>
      </c>
      <c r="F24" s="46" t="str">
        <f t="shared" si="3"/>
        <v/>
      </c>
      <c r="G24" s="46" t="str">
        <f t="shared" si="3"/>
        <v/>
      </c>
    </row>
    <row r="25" spans="1:7" ht="17" x14ac:dyDescent="0.2">
      <c r="A25" s="45" t="s">
        <v>157</v>
      </c>
      <c r="B25" s="47">
        <f t="shared" ref="B25:G25" si="4">IF(B6="","",B24/B16)</f>
        <v>0.87265931034482747</v>
      </c>
      <c r="C25" s="47">
        <f t="shared" si="4"/>
        <v>0.76627341772151902</v>
      </c>
      <c r="D25" s="47">
        <f t="shared" si="4"/>
        <v>0.53607035175879392</v>
      </c>
      <c r="E25" s="47">
        <f t="shared" si="4"/>
        <v>0.34007439198855499</v>
      </c>
      <c r="F25" s="47" t="str">
        <f t="shared" si="4"/>
        <v/>
      </c>
      <c r="G25" s="47" t="str">
        <f t="shared" si="4"/>
        <v/>
      </c>
    </row>
    <row r="26" spans="1:7" ht="17" x14ac:dyDescent="0.2">
      <c r="A26" s="37" t="s">
        <v>158</v>
      </c>
      <c r="B26" s="48">
        <f t="shared" ref="B26:G26" si="5">IF(B6="","",B16/B21)</f>
        <v>7.8529494595004428</v>
      </c>
      <c r="C26" s="48">
        <f t="shared" si="5"/>
        <v>4.2785034986243797</v>
      </c>
      <c r="D26" s="48">
        <f t="shared" si="5"/>
        <v>2.1554992309525352</v>
      </c>
      <c r="E26" s="48">
        <f t="shared" si="5"/>
        <v>1.5153223149095574</v>
      </c>
      <c r="F26" s="48" t="str">
        <f t="shared" si="5"/>
        <v/>
      </c>
      <c r="G26" s="48" t="str">
        <f t="shared" si="5"/>
        <v/>
      </c>
    </row>
    <row r="28" spans="1:7" ht="19" x14ac:dyDescent="0.2">
      <c r="A28" s="33" t="s">
        <v>159</v>
      </c>
    </row>
    <row r="29" spans="1:7" ht="17" x14ac:dyDescent="0.2">
      <c r="A29" s="3" t="s">
        <v>160</v>
      </c>
      <c r="B29" s="38">
        <v>100</v>
      </c>
    </row>
    <row r="31" spans="1:7" ht="17" x14ac:dyDescent="0.2">
      <c r="A31" s="49" t="s">
        <v>161</v>
      </c>
    </row>
    <row r="32" spans="1:7" ht="18" x14ac:dyDescent="0.2">
      <c r="A32" s="5"/>
      <c r="B32" s="32" t="str">
        <f t="shared" ref="B32:G32" si="6">B4</f>
        <v>Starter</v>
      </c>
      <c r="C32" s="32" t="str">
        <f t="shared" si="6"/>
        <v>Pro</v>
      </c>
      <c r="D32" s="32" t="str">
        <f t="shared" si="6"/>
        <v>Business</v>
      </c>
      <c r="E32" s="32" t="str">
        <f t="shared" si="6"/>
        <v>Offre 4</v>
      </c>
      <c r="F32" s="32" t="str">
        <f t="shared" si="6"/>
        <v>Offre 5</v>
      </c>
      <c r="G32" s="32" t="str">
        <f t="shared" si="6"/>
        <v>Offre 6</v>
      </c>
    </row>
    <row r="33" spans="1:7" ht="17" x14ac:dyDescent="0.2">
      <c r="A33" s="37" t="s">
        <v>162</v>
      </c>
      <c r="B33" s="50">
        <v>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</row>
    <row r="34" spans="1:7" ht="17" x14ac:dyDescent="0.2">
      <c r="A34" s="40" t="s">
        <v>163</v>
      </c>
      <c r="B34" s="51">
        <f t="shared" ref="B34:G34" si="7">ROUND($B$29*B33,0)</f>
        <v>0</v>
      </c>
      <c r="C34" s="51">
        <f t="shared" si="7"/>
        <v>100</v>
      </c>
      <c r="D34" s="51">
        <f t="shared" si="7"/>
        <v>0</v>
      </c>
      <c r="E34" s="51">
        <f t="shared" si="7"/>
        <v>0</v>
      </c>
      <c r="F34" s="51">
        <f t="shared" si="7"/>
        <v>0</v>
      </c>
      <c r="G34" s="51">
        <f t="shared" si="7"/>
        <v>0</v>
      </c>
    </row>
    <row r="35" spans="1:7" ht="17" x14ac:dyDescent="0.2">
      <c r="A35" s="37" t="s">
        <v>164</v>
      </c>
      <c r="B35" s="52">
        <f>SUM(B33:G33)</f>
        <v>1</v>
      </c>
    </row>
    <row r="37" spans="1:7" ht="19" x14ac:dyDescent="0.2">
      <c r="A37" s="33" t="s">
        <v>165</v>
      </c>
    </row>
    <row r="38" spans="1:7" ht="17" x14ac:dyDescent="0.2">
      <c r="A38" s="37" t="s">
        <v>166</v>
      </c>
      <c r="B38" s="41">
        <f>SUMPRODUCT(B33:G33,B16:G16)</f>
        <v>79</v>
      </c>
    </row>
    <row r="39" spans="1:7" ht="17" x14ac:dyDescent="0.2">
      <c r="A39" s="37" t="s">
        <v>167</v>
      </c>
      <c r="B39" s="41">
        <f>SUMPRODUCT(B33:G33,B21:G21)</f>
        <v>18.464400000000001</v>
      </c>
    </row>
    <row r="40" spans="1:7" ht="17" x14ac:dyDescent="0.2">
      <c r="A40" s="37" t="s">
        <v>168</v>
      </c>
      <c r="B40" s="41">
        <f>INDEX('AWS Infrastructure'!I22:I34,MATCH(B29,'AWS Infrastructure'!A22:A34,1))</f>
        <v>1467.97408</v>
      </c>
    </row>
    <row r="41" spans="1:7" ht="17" x14ac:dyDescent="0.2">
      <c r="A41" s="37" t="s">
        <v>169</v>
      </c>
      <c r="B41" s="41">
        <f>B40/B29</f>
        <v>14.679740799999999</v>
      </c>
    </row>
    <row r="43" spans="1:7" ht="17" x14ac:dyDescent="0.2">
      <c r="A43" s="42" t="s">
        <v>170</v>
      </c>
      <c r="B43" s="43">
        <f>B29*B38</f>
        <v>7900</v>
      </c>
    </row>
    <row r="44" spans="1:7" ht="17" x14ac:dyDescent="0.2">
      <c r="A44" s="40" t="s">
        <v>171</v>
      </c>
      <c r="B44" s="41">
        <f>B29*B39+B40</f>
        <v>3314.41408</v>
      </c>
    </row>
    <row r="45" spans="1:7" ht="17" x14ac:dyDescent="0.2">
      <c r="A45" s="45" t="s">
        <v>172</v>
      </c>
      <c r="B45" s="46">
        <f>B43-B44</f>
        <v>4585.5859199999995</v>
      </c>
    </row>
    <row r="46" spans="1:7" ht="17" x14ac:dyDescent="0.2">
      <c r="A46" s="45" t="s">
        <v>95</v>
      </c>
      <c r="B46" s="47">
        <f>B45/B43</f>
        <v>0.58045391392405055</v>
      </c>
    </row>
    <row r="48" spans="1:7" ht="17" x14ac:dyDescent="0.2">
      <c r="A48" s="40" t="s">
        <v>173</v>
      </c>
      <c r="B48" s="41">
        <f>B43*12</f>
        <v>94800</v>
      </c>
    </row>
    <row r="49" spans="1:2" ht="17" x14ac:dyDescent="0.2">
      <c r="A49" s="53" t="s">
        <v>174</v>
      </c>
      <c r="B49" s="54">
        <f>B45*12</f>
        <v>55027.031039999994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3"/>
  <sheetViews>
    <sheetView zoomScale="125" zoomScaleNormal="100" workbookViewId="0">
      <selection activeCell="J37" sqref="J37"/>
    </sheetView>
  </sheetViews>
  <sheetFormatPr baseColWidth="10" defaultColWidth="8.6640625" defaultRowHeight="15" x14ac:dyDescent="0.2"/>
  <cols>
    <col min="1" max="1" width="14" customWidth="1"/>
    <col min="2" max="5" width="16" customWidth="1"/>
    <col min="6" max="6" width="12" customWidth="1"/>
  </cols>
  <sheetData>
    <row r="1" spans="1:21" ht="17.25" customHeight="1" x14ac:dyDescent="0.35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ht="15" customHeight="1" x14ac:dyDescent="0.3">
      <c r="A3" s="12" t="s">
        <v>176</v>
      </c>
    </row>
    <row r="4" spans="1:21" ht="15" customHeight="1" x14ac:dyDescent="0.2">
      <c r="A4" s="5" t="s">
        <v>177</v>
      </c>
      <c r="B4" s="5" t="s">
        <v>3</v>
      </c>
      <c r="C4" s="5" t="s">
        <v>178</v>
      </c>
      <c r="D4" s="5" t="s">
        <v>179</v>
      </c>
      <c r="E4" s="5" t="s">
        <v>180</v>
      </c>
      <c r="F4" s="5" t="s">
        <v>7</v>
      </c>
    </row>
    <row r="5" spans="1:21" ht="15" customHeight="1" x14ac:dyDescent="0.2">
      <c r="A5" s="9" t="s">
        <v>181</v>
      </c>
      <c r="B5" s="9" t="s">
        <v>182</v>
      </c>
      <c r="C5" s="9" t="s">
        <v>183</v>
      </c>
      <c r="D5" s="9" t="s">
        <v>184</v>
      </c>
      <c r="E5" s="9" t="s">
        <v>185</v>
      </c>
      <c r="F5" s="9" t="s">
        <v>186</v>
      </c>
    </row>
    <row r="6" spans="1:21" ht="15" customHeight="1" x14ac:dyDescent="0.2">
      <c r="A6" s="6" t="s">
        <v>187</v>
      </c>
      <c r="B6" s="6" t="s">
        <v>188</v>
      </c>
      <c r="C6" s="6" t="s">
        <v>189</v>
      </c>
      <c r="D6" s="6" t="s">
        <v>190</v>
      </c>
      <c r="E6" s="6" t="s">
        <v>191</v>
      </c>
      <c r="F6" s="6" t="s">
        <v>192</v>
      </c>
    </row>
    <row r="7" spans="1:21" ht="15" customHeight="1" x14ac:dyDescent="0.2">
      <c r="A7" s="9" t="s">
        <v>193</v>
      </c>
      <c r="B7" s="9" t="s">
        <v>194</v>
      </c>
      <c r="C7" s="9" t="s">
        <v>195</v>
      </c>
      <c r="D7" s="9" t="s">
        <v>196</v>
      </c>
      <c r="E7" s="9" t="s">
        <v>197</v>
      </c>
      <c r="F7" s="9" t="s">
        <v>198</v>
      </c>
    </row>
    <row r="8" spans="1:21" ht="15" customHeight="1" x14ac:dyDescent="0.2">
      <c r="A8" s="6" t="s">
        <v>199</v>
      </c>
      <c r="B8" s="6" t="s">
        <v>200</v>
      </c>
      <c r="C8" s="6" t="s">
        <v>201</v>
      </c>
      <c r="D8" s="6" t="s">
        <v>202</v>
      </c>
      <c r="E8" s="6" t="s">
        <v>203</v>
      </c>
      <c r="F8" s="6" t="s">
        <v>204</v>
      </c>
    </row>
    <row r="11" spans="1:21" ht="15" customHeight="1" x14ac:dyDescent="0.3">
      <c r="A11" s="12" t="s">
        <v>205</v>
      </c>
    </row>
    <row r="12" spans="1:21" ht="15" customHeight="1" x14ac:dyDescent="0.2">
      <c r="A12" s="55" t="s">
        <v>206</v>
      </c>
    </row>
    <row r="14" spans="1:21" ht="15" customHeight="1" x14ac:dyDescent="0.2">
      <c r="A14" s="3" t="s">
        <v>207</v>
      </c>
      <c r="B14" s="15">
        <v>500</v>
      </c>
    </row>
    <row r="15" spans="1:21" ht="15" customHeight="1" x14ac:dyDescent="0.2">
      <c r="A15" s="3" t="s">
        <v>208</v>
      </c>
      <c r="B15" s="15">
        <v>200</v>
      </c>
    </row>
    <row r="16" spans="1:21" ht="15" customHeight="1" x14ac:dyDescent="0.2">
      <c r="A16" s="3" t="s">
        <v>209</v>
      </c>
      <c r="B16" s="15">
        <v>5</v>
      </c>
    </row>
    <row r="17" spans="1:6" ht="15" customHeight="1" x14ac:dyDescent="0.2">
      <c r="A17" s="3" t="s">
        <v>210</v>
      </c>
      <c r="B17" s="15">
        <v>3</v>
      </c>
    </row>
    <row r="19" spans="1:6" ht="15" customHeight="1" x14ac:dyDescent="0.2">
      <c r="A19" s="5" t="s">
        <v>177</v>
      </c>
      <c r="B19" s="5" t="s">
        <v>211</v>
      </c>
      <c r="C19" s="5" t="s">
        <v>212</v>
      </c>
      <c r="D19" s="5" t="s">
        <v>213</v>
      </c>
      <c r="E19" s="5" t="s">
        <v>72</v>
      </c>
      <c r="F19" s="5" t="s">
        <v>214</v>
      </c>
    </row>
    <row r="20" spans="1:6" ht="15" customHeight="1" x14ac:dyDescent="0.3">
      <c r="A20" s="56" t="s">
        <v>181</v>
      </c>
      <c r="B20" s="57">
        <f>B14</f>
        <v>500</v>
      </c>
      <c r="C20" s="58">
        <v>50</v>
      </c>
      <c r="D20" s="58">
        <f>B15*'Cout reel IA'!B15</f>
        <v>1.9319999999999999</v>
      </c>
      <c r="E20" s="58">
        <f>C20+D20</f>
        <v>51.932000000000002</v>
      </c>
      <c r="F20" s="56" t="s">
        <v>215</v>
      </c>
    </row>
    <row r="21" spans="1:6" ht="15" customHeight="1" x14ac:dyDescent="0.3">
      <c r="A21" s="56" t="s">
        <v>187</v>
      </c>
      <c r="B21" s="57">
        <f>B14*B16</f>
        <v>2500</v>
      </c>
      <c r="C21" s="58">
        <f>9*'Catalogue LLM'!B2</f>
        <v>8.2800000000000011</v>
      </c>
      <c r="D21" s="58">
        <f>B15*'Cout reel IA'!B15</f>
        <v>1.9319999999999999</v>
      </c>
      <c r="E21" s="58">
        <f>C21+D21</f>
        <v>10.212000000000002</v>
      </c>
      <c r="F21" s="56" t="s">
        <v>215</v>
      </c>
    </row>
    <row r="22" spans="1:6" ht="15" customHeight="1" x14ac:dyDescent="0.3">
      <c r="A22" s="56" t="s">
        <v>193</v>
      </c>
      <c r="B22" s="57">
        <f>B14*B17</f>
        <v>1500</v>
      </c>
      <c r="C22" s="58">
        <f>20*'Catalogue LLM'!B2</f>
        <v>18.400000000000002</v>
      </c>
      <c r="D22" s="58">
        <f>B15*'Cout reel IA'!B15</f>
        <v>1.9319999999999999</v>
      </c>
      <c r="E22" s="58">
        <f>C22+D22</f>
        <v>20.332000000000001</v>
      </c>
      <c r="F22" s="56" t="s">
        <v>215</v>
      </c>
    </row>
    <row r="23" spans="1:6" ht="15" customHeight="1" x14ac:dyDescent="0.3">
      <c r="A23" s="59" t="s">
        <v>216</v>
      </c>
      <c r="B23" s="60">
        <f>B14*'Credits Kinn'!B19+B15*'Credits Kinn'!B17</f>
        <v>105.34999999999998</v>
      </c>
      <c r="C23" s="61">
        <f>Offres!C26</f>
        <v>4.2785034986243797</v>
      </c>
      <c r="D23" s="61">
        <v>0</v>
      </c>
      <c r="E23" s="61">
        <f>C23+D23</f>
        <v>4.2785034986243797</v>
      </c>
      <c r="F23" s="59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zoomScale="139" zoomScaleNormal="100" workbookViewId="0">
      <selection activeCell="E22" sqref="E22"/>
    </sheetView>
  </sheetViews>
  <sheetFormatPr baseColWidth="10" defaultColWidth="8.6640625" defaultRowHeight="15" x14ac:dyDescent="0.2"/>
  <cols>
    <col min="1" max="1" width="10" customWidth="1"/>
    <col min="2" max="6" width="16" customWidth="1"/>
    <col min="7" max="7" width="10" customWidth="1"/>
    <col min="8" max="11" width="14" customWidth="1"/>
  </cols>
  <sheetData>
    <row r="1" spans="1:13" ht="22" x14ac:dyDescent="0.2">
      <c r="A1" s="30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9" x14ac:dyDescent="0.2">
      <c r="A3" s="33" t="s">
        <v>219</v>
      </c>
    </row>
    <row r="4" spans="1:13" ht="17" x14ac:dyDescent="0.2">
      <c r="A4" s="3" t="s">
        <v>220</v>
      </c>
      <c r="B4" s="41">
        <f>Offres!B38</f>
        <v>79</v>
      </c>
      <c r="C4" s="3" t="s">
        <v>221</v>
      </c>
      <c r="D4" s="41">
        <f>Offres!B39</f>
        <v>18.464400000000001</v>
      </c>
    </row>
    <row r="6" spans="1:13" ht="19" x14ac:dyDescent="0.2">
      <c r="A6" s="33" t="s">
        <v>222</v>
      </c>
    </row>
    <row r="7" spans="1:13" ht="17" x14ac:dyDescent="0.2">
      <c r="A7" s="5" t="s">
        <v>117</v>
      </c>
      <c r="B7" s="5" t="s">
        <v>223</v>
      </c>
      <c r="C7" s="5" t="s">
        <v>224</v>
      </c>
      <c r="D7" s="5" t="s">
        <v>225</v>
      </c>
      <c r="E7" s="5" t="s">
        <v>72</v>
      </c>
      <c r="F7" s="5" t="s">
        <v>94</v>
      </c>
      <c r="G7" s="5" t="s">
        <v>95</v>
      </c>
      <c r="H7" s="5" t="s">
        <v>226</v>
      </c>
      <c r="I7" s="5" t="s">
        <v>227</v>
      </c>
      <c r="J7" s="5" t="s">
        <v>228</v>
      </c>
      <c r="K7" s="5" t="s">
        <v>229</v>
      </c>
    </row>
    <row r="8" spans="1:13" ht="17" x14ac:dyDescent="0.2">
      <c r="A8" s="8">
        <v>5</v>
      </c>
      <c r="B8" s="7">
        <f t="shared" ref="B8:B20" si="0">A8*$B$4</f>
        <v>395</v>
      </c>
      <c r="C8" s="7">
        <f>INDEX('AWS Infrastructure'!I22:I34,MATCH(A8,'AWS Infrastructure'!A22:A34,0))</f>
        <v>181.72576000000004</v>
      </c>
      <c r="D8" s="7">
        <f t="shared" ref="D8:D20" si="1">A8*$D$4</f>
        <v>92.322000000000003</v>
      </c>
      <c r="E8" s="7">
        <f t="shared" ref="E8:E20" si="2">C8+D8</f>
        <v>274.04776000000004</v>
      </c>
      <c r="F8" s="7">
        <f t="shared" ref="F8:F20" si="3">B8-E8</f>
        <v>120.95223999999996</v>
      </c>
      <c r="G8" s="28">
        <f t="shared" ref="G8:G20" si="4">F8/B8</f>
        <v>0.30620820253164549</v>
      </c>
      <c r="H8" s="7">
        <f t="shared" ref="H8:H20" si="5">B8/A8</f>
        <v>79</v>
      </c>
      <c r="I8" s="7">
        <f t="shared" ref="I8:I20" si="6">E8/A8</f>
        <v>54.809552000000011</v>
      </c>
      <c r="J8" s="8">
        <f>A8*SUMPRODUCT(Offres!B33:G33,Offres!B7:G7+Offres!B9:G9)</f>
        <v>25000</v>
      </c>
      <c r="K8" s="8">
        <f>A8*SUMPRODUCT(Offres!B33:G33,Offres!B8:G8+Offres!B10:G10)/'Credits Kinn'!$B$17</f>
        <v>9523.8095238095248</v>
      </c>
    </row>
    <row r="9" spans="1:13" ht="17" x14ac:dyDescent="0.2">
      <c r="A9" s="11">
        <v>10</v>
      </c>
      <c r="B9" s="10">
        <f t="shared" si="0"/>
        <v>790</v>
      </c>
      <c r="C9" s="10">
        <f>INDEX('AWS Infrastructure'!I22:I34,MATCH(A9,'AWS Infrastructure'!A22:A34,0))</f>
        <v>193.00864000000001</v>
      </c>
      <c r="D9" s="10">
        <f t="shared" si="1"/>
        <v>184.64400000000001</v>
      </c>
      <c r="E9" s="10">
        <f t="shared" si="2"/>
        <v>377.65264000000002</v>
      </c>
      <c r="F9" s="10">
        <f t="shared" si="3"/>
        <v>412.34735999999998</v>
      </c>
      <c r="G9" s="27">
        <f t="shared" si="4"/>
        <v>0.52195868354430375</v>
      </c>
      <c r="H9" s="10">
        <f t="shared" si="5"/>
        <v>79</v>
      </c>
      <c r="I9" s="10">
        <f t="shared" si="6"/>
        <v>37.765264000000002</v>
      </c>
      <c r="J9" s="11">
        <f>A9*SUMPRODUCT(Offres!B33:G33,Offres!B7:G7+Offres!B9:G9)</f>
        <v>50000</v>
      </c>
      <c r="K9" s="11">
        <f>A9*SUMPRODUCT(Offres!B33:G33,Offres!B8:G8+Offres!B10:G10)/'Credits Kinn'!$B$17</f>
        <v>19047.61904761905</v>
      </c>
    </row>
    <row r="10" spans="1:13" ht="17" x14ac:dyDescent="0.2">
      <c r="A10" s="8">
        <v>20</v>
      </c>
      <c r="B10" s="7">
        <f t="shared" si="0"/>
        <v>1580</v>
      </c>
      <c r="C10" s="7">
        <f>INDEX('AWS Infrastructure'!I22:I34,MATCH(A10,'AWS Infrastructure'!A22:A34,0))</f>
        <v>294.55456000000004</v>
      </c>
      <c r="D10" s="7">
        <f t="shared" si="1"/>
        <v>369.28800000000001</v>
      </c>
      <c r="E10" s="7">
        <f t="shared" si="2"/>
        <v>663.84256000000005</v>
      </c>
      <c r="F10" s="7">
        <f t="shared" si="3"/>
        <v>916.15743999999995</v>
      </c>
      <c r="G10" s="28">
        <f t="shared" si="4"/>
        <v>0.57984648101265823</v>
      </c>
      <c r="H10" s="7">
        <f t="shared" si="5"/>
        <v>79</v>
      </c>
      <c r="I10" s="7">
        <f t="shared" si="6"/>
        <v>33.192128000000004</v>
      </c>
      <c r="J10" s="8">
        <f>A10*SUMPRODUCT(Offres!B33:G33,Offres!B7:G7+Offres!B9:G9)</f>
        <v>100000</v>
      </c>
      <c r="K10" s="8">
        <f>A10*SUMPRODUCT(Offres!B33:G33,Offres!B8:G8+Offres!B10:G10)/'Credits Kinn'!$B$17</f>
        <v>38095.238095238099</v>
      </c>
    </row>
    <row r="11" spans="1:13" ht="17" x14ac:dyDescent="0.2">
      <c r="A11" s="11">
        <v>30</v>
      </c>
      <c r="B11" s="10">
        <f t="shared" si="0"/>
        <v>2370</v>
      </c>
      <c r="C11" s="10">
        <f>INDEX('AWS Infrastructure'!I22:I34,MATCH(A11,'AWS Infrastructure'!A22:A34,0))</f>
        <v>362.25184000000002</v>
      </c>
      <c r="D11" s="10">
        <f t="shared" si="1"/>
        <v>553.93200000000002</v>
      </c>
      <c r="E11" s="10">
        <f t="shared" si="2"/>
        <v>916.18384000000003</v>
      </c>
      <c r="F11" s="10">
        <f t="shared" si="3"/>
        <v>1453.8161599999999</v>
      </c>
      <c r="G11" s="27">
        <f t="shared" si="4"/>
        <v>0.61342454008438807</v>
      </c>
      <c r="H11" s="10">
        <f t="shared" si="5"/>
        <v>79</v>
      </c>
      <c r="I11" s="10">
        <f t="shared" si="6"/>
        <v>30.539461333333335</v>
      </c>
      <c r="J11" s="11">
        <f>A11*SUMPRODUCT(Offres!B33:G33,Offres!B7:G7+Offres!B9:G9)</f>
        <v>150000</v>
      </c>
      <c r="K11" s="11">
        <f>A11*SUMPRODUCT(Offres!B33:G33,Offres!B8:G8+Offres!B10:G10)/'Credits Kinn'!$B$17</f>
        <v>57142.857142857152</v>
      </c>
    </row>
    <row r="12" spans="1:13" ht="17" x14ac:dyDescent="0.2">
      <c r="A12" s="8">
        <v>50</v>
      </c>
      <c r="B12" s="7">
        <f t="shared" si="0"/>
        <v>3950</v>
      </c>
      <c r="C12" s="7">
        <f>INDEX('AWS Infrastructure'!I22:I34,MATCH(A12,'AWS Infrastructure'!A22:A34,0))</f>
        <v>497.64640000000003</v>
      </c>
      <c r="D12" s="7">
        <f t="shared" si="1"/>
        <v>923.22</v>
      </c>
      <c r="E12" s="7">
        <f t="shared" si="2"/>
        <v>1420.8664000000001</v>
      </c>
      <c r="F12" s="7">
        <f t="shared" si="3"/>
        <v>2529.1336000000001</v>
      </c>
      <c r="G12" s="28">
        <f t="shared" si="4"/>
        <v>0.64028698734177214</v>
      </c>
      <c r="H12" s="7">
        <f t="shared" si="5"/>
        <v>79</v>
      </c>
      <c r="I12" s="7">
        <f t="shared" si="6"/>
        <v>28.417328000000001</v>
      </c>
      <c r="J12" s="8">
        <f>A12*SUMPRODUCT(Offres!B33:G33,Offres!B7:G7+Offres!B9:G9)</f>
        <v>250000</v>
      </c>
      <c r="K12" s="8">
        <f>A12*SUMPRODUCT(Offres!B33:G33,Offres!B8:G8+Offres!B10:G10)/'Credits Kinn'!$B$17</f>
        <v>95238.095238095251</v>
      </c>
    </row>
    <row r="13" spans="1:13" ht="17" x14ac:dyDescent="0.2">
      <c r="A13" s="11">
        <v>75</v>
      </c>
      <c r="B13" s="10">
        <f t="shared" si="0"/>
        <v>5925</v>
      </c>
      <c r="C13" s="10">
        <f>INDEX('AWS Infrastructure'!I22:I34,MATCH(A13,'AWS Infrastructure'!A22:A34,0))</f>
        <v>1152.0534400000001</v>
      </c>
      <c r="D13" s="10">
        <f t="shared" si="1"/>
        <v>1384.8300000000002</v>
      </c>
      <c r="E13" s="10">
        <f t="shared" si="2"/>
        <v>2536.8834400000005</v>
      </c>
      <c r="F13" s="10">
        <f t="shared" si="3"/>
        <v>3388.1165599999995</v>
      </c>
      <c r="G13" s="27">
        <f t="shared" si="4"/>
        <v>0.57183401856540073</v>
      </c>
      <c r="H13" s="10">
        <f t="shared" si="5"/>
        <v>79</v>
      </c>
      <c r="I13" s="10">
        <f t="shared" si="6"/>
        <v>33.825112533333339</v>
      </c>
      <c r="J13" s="11">
        <f>A13*SUMPRODUCT(Offres!B33:G33,Offres!B7:G7+Offres!B9:G9)</f>
        <v>375000</v>
      </c>
      <c r="K13" s="11">
        <f>A13*SUMPRODUCT(Offres!B33:G33,Offres!B8:G8+Offres!B10:G10)/'Credits Kinn'!$B$17</f>
        <v>142857.14285714287</v>
      </c>
    </row>
    <row r="14" spans="1:13" ht="17" x14ac:dyDescent="0.2">
      <c r="A14" s="8">
        <v>100</v>
      </c>
      <c r="B14" s="7">
        <f t="shared" si="0"/>
        <v>7900</v>
      </c>
      <c r="C14" s="7">
        <f>INDEX('AWS Infrastructure'!I22:I34,MATCH(A14,'AWS Infrastructure'!A22:A34,0))</f>
        <v>1467.97408</v>
      </c>
      <c r="D14" s="7">
        <f t="shared" si="1"/>
        <v>1846.44</v>
      </c>
      <c r="E14" s="7">
        <f t="shared" si="2"/>
        <v>3314.41408</v>
      </c>
      <c r="F14" s="7">
        <f t="shared" si="3"/>
        <v>4585.5859199999995</v>
      </c>
      <c r="G14" s="28">
        <f t="shared" si="4"/>
        <v>0.58045391392405055</v>
      </c>
      <c r="H14" s="7">
        <f t="shared" si="5"/>
        <v>79</v>
      </c>
      <c r="I14" s="7">
        <f t="shared" si="6"/>
        <v>33.144140800000002</v>
      </c>
      <c r="J14" s="8">
        <f>A14*SUMPRODUCT(Offres!B33:G33,Offres!B7:G7+Offres!B9:G9)</f>
        <v>500000</v>
      </c>
      <c r="K14" s="8">
        <f>A14*SUMPRODUCT(Offres!B33:G33,Offres!B8:G8+Offres!B10:G10)/'Credits Kinn'!$B$17</f>
        <v>190476.1904761905</v>
      </c>
    </row>
    <row r="15" spans="1:13" ht="17" x14ac:dyDescent="0.2">
      <c r="A15" s="11">
        <v>150</v>
      </c>
      <c r="B15" s="10">
        <f t="shared" si="0"/>
        <v>11850</v>
      </c>
      <c r="C15" s="10">
        <f>INDEX('AWS Infrastructure'!I22:I34,MATCH(A15,'AWS Infrastructure'!A22:A34,0))</f>
        <v>1693.63168</v>
      </c>
      <c r="D15" s="10">
        <f t="shared" si="1"/>
        <v>2769.6600000000003</v>
      </c>
      <c r="E15" s="10">
        <f t="shared" si="2"/>
        <v>4463.2916800000003</v>
      </c>
      <c r="F15" s="10">
        <f t="shared" si="3"/>
        <v>7386.7083199999997</v>
      </c>
      <c r="G15" s="27">
        <f t="shared" si="4"/>
        <v>0.62335091308016877</v>
      </c>
      <c r="H15" s="10">
        <f t="shared" si="5"/>
        <v>79</v>
      </c>
      <c r="I15" s="10">
        <f t="shared" si="6"/>
        <v>29.755277866666667</v>
      </c>
      <c r="J15" s="11">
        <f>A15*SUMPRODUCT(Offres!B33:G33,Offres!B7:G7+Offres!B9:G9)</f>
        <v>750000</v>
      </c>
      <c r="K15" s="11">
        <f>A15*SUMPRODUCT(Offres!B33:G33,Offres!B8:G8+Offres!B10:G10)/'Credits Kinn'!$B$17</f>
        <v>285714.28571428574</v>
      </c>
    </row>
    <row r="16" spans="1:13" ht="17" x14ac:dyDescent="0.2">
      <c r="A16" s="8">
        <v>200</v>
      </c>
      <c r="B16" s="7">
        <f t="shared" si="0"/>
        <v>15800</v>
      </c>
      <c r="C16" s="7">
        <f>INDEX('AWS Infrastructure'!I22:I34,MATCH(A16,'AWS Infrastructure'!A22:A34,0))</f>
        <v>2235.2099199999998</v>
      </c>
      <c r="D16" s="7">
        <f t="shared" si="1"/>
        <v>3692.88</v>
      </c>
      <c r="E16" s="7">
        <f t="shared" si="2"/>
        <v>5928.0899200000003</v>
      </c>
      <c r="F16" s="7">
        <f t="shared" si="3"/>
        <v>9871.9100799999997</v>
      </c>
      <c r="G16" s="28">
        <f t="shared" si="4"/>
        <v>0.62480443544303799</v>
      </c>
      <c r="H16" s="7">
        <f t="shared" si="5"/>
        <v>79</v>
      </c>
      <c r="I16" s="7">
        <f t="shared" si="6"/>
        <v>29.6404496</v>
      </c>
      <c r="J16" s="8">
        <f>A16*SUMPRODUCT(Offres!B33:G33,Offres!B7:G7+Offres!B9:G9)</f>
        <v>1000000</v>
      </c>
      <c r="K16" s="8">
        <f>A16*SUMPRODUCT(Offres!B33:G33,Offres!B8:G8+Offres!B10:G10)/'Credits Kinn'!$B$17</f>
        <v>380952.38095238101</v>
      </c>
    </row>
    <row r="17" spans="1:11" ht="17" x14ac:dyDescent="0.2">
      <c r="A17" s="11">
        <v>300</v>
      </c>
      <c r="B17" s="10">
        <f t="shared" si="0"/>
        <v>23700</v>
      </c>
      <c r="C17" s="10">
        <f>INDEX('AWS Infrastructure'!I22:I34,MATCH(A17,'AWS Infrastructure'!A22:A34,0))</f>
        <v>3885.7340800000006</v>
      </c>
      <c r="D17" s="10">
        <f t="shared" si="1"/>
        <v>5539.3200000000006</v>
      </c>
      <c r="E17" s="10">
        <f t="shared" si="2"/>
        <v>9425.0540800000017</v>
      </c>
      <c r="F17" s="10">
        <f t="shared" si="3"/>
        <v>14274.945919999998</v>
      </c>
      <c r="G17" s="27">
        <f t="shared" si="4"/>
        <v>0.60231839324894509</v>
      </c>
      <c r="H17" s="10">
        <f t="shared" si="5"/>
        <v>79</v>
      </c>
      <c r="I17" s="10">
        <f t="shared" si="6"/>
        <v>31.416846933333339</v>
      </c>
      <c r="J17" s="11">
        <f>A17*SUMPRODUCT(Offres!B33:G33,Offres!B7:G7+Offres!B9:G9)</f>
        <v>1500000</v>
      </c>
      <c r="K17" s="11">
        <f>A17*SUMPRODUCT(Offres!B33:G33,Offres!B8:G8+Offres!B10:G10)/'Credits Kinn'!$B$17</f>
        <v>571428.57142857148</v>
      </c>
    </row>
    <row r="18" spans="1:11" ht="17" x14ac:dyDescent="0.2">
      <c r="A18" s="8">
        <v>500</v>
      </c>
      <c r="B18" s="7">
        <f t="shared" si="0"/>
        <v>39500</v>
      </c>
      <c r="C18" s="7">
        <f>INDEX('AWS Infrastructure'!I22:I34,MATCH(A18,'AWS Infrastructure'!A22:A34,0))</f>
        <v>6297.0467200000012</v>
      </c>
      <c r="D18" s="7">
        <f t="shared" si="1"/>
        <v>9232.2000000000007</v>
      </c>
      <c r="E18" s="7">
        <f t="shared" si="2"/>
        <v>15529.246720000003</v>
      </c>
      <c r="F18" s="7">
        <f t="shared" si="3"/>
        <v>23970.753279999997</v>
      </c>
      <c r="G18" s="28">
        <f t="shared" si="4"/>
        <v>0.60685451341772145</v>
      </c>
      <c r="H18" s="7">
        <f t="shared" si="5"/>
        <v>79</v>
      </c>
      <c r="I18" s="7">
        <f t="shared" si="6"/>
        <v>31.058493440000007</v>
      </c>
      <c r="J18" s="8">
        <f>A18*SUMPRODUCT(Offres!B33:G33,Offres!B7:G7+Offres!B9:G9)</f>
        <v>2500000</v>
      </c>
      <c r="K18" s="8">
        <f>A18*SUMPRODUCT(Offres!B33:G33,Offres!B8:G8+Offres!B10:G10)/'Credits Kinn'!$B$17</f>
        <v>952380.95238095254</v>
      </c>
    </row>
    <row r="19" spans="1:11" ht="17" x14ac:dyDescent="0.2">
      <c r="A19" s="11">
        <v>750</v>
      </c>
      <c r="B19" s="10">
        <f t="shared" si="0"/>
        <v>59250</v>
      </c>
      <c r="C19" s="10">
        <f>INDEX('AWS Infrastructure'!I22:I34,MATCH(A19,'AWS Infrastructure'!A22:A34,0))</f>
        <v>8489.1491200000019</v>
      </c>
      <c r="D19" s="10">
        <f t="shared" si="1"/>
        <v>13848.300000000001</v>
      </c>
      <c r="E19" s="10">
        <f t="shared" si="2"/>
        <v>22337.449120000005</v>
      </c>
      <c r="F19" s="10">
        <f t="shared" si="3"/>
        <v>36912.550879999995</v>
      </c>
      <c r="G19" s="27">
        <f t="shared" si="4"/>
        <v>0.62299663932489446</v>
      </c>
      <c r="H19" s="10">
        <f t="shared" si="5"/>
        <v>79</v>
      </c>
      <c r="I19" s="10">
        <f t="shared" si="6"/>
        <v>29.783265493333339</v>
      </c>
      <c r="J19" s="11">
        <f>A19*SUMPRODUCT(Offres!B33:G33,Offres!B7:G7+Offres!B9:G9)</f>
        <v>3750000</v>
      </c>
      <c r="K19" s="11">
        <f>A19*SUMPRODUCT(Offres!B33:G33,Offres!B8:G8+Offres!B10:G10)/'Credits Kinn'!$B$17</f>
        <v>1428571.4285714289</v>
      </c>
    </row>
    <row r="20" spans="1:11" ht="17" x14ac:dyDescent="0.2">
      <c r="A20" s="8">
        <v>1000</v>
      </c>
      <c r="B20" s="7">
        <f t="shared" si="0"/>
        <v>79000</v>
      </c>
      <c r="C20" s="7">
        <f>INDEX('AWS Infrastructure'!I22:I34,MATCH(A20,'AWS Infrastructure'!A22:A34,0))</f>
        <v>11119.672</v>
      </c>
      <c r="D20" s="7">
        <f t="shared" si="1"/>
        <v>18464.400000000001</v>
      </c>
      <c r="E20" s="7">
        <f t="shared" si="2"/>
        <v>29584.072</v>
      </c>
      <c r="F20" s="7">
        <f t="shared" si="3"/>
        <v>49415.928</v>
      </c>
      <c r="G20" s="28">
        <f t="shared" si="4"/>
        <v>0.62551807594936704</v>
      </c>
      <c r="H20" s="7">
        <f t="shared" si="5"/>
        <v>79</v>
      </c>
      <c r="I20" s="7">
        <f t="shared" si="6"/>
        <v>29.584071999999999</v>
      </c>
      <c r="J20" s="8">
        <f>A20*SUMPRODUCT(Offres!B33:G33,Offres!B7:G7+Offres!B9:G9)</f>
        <v>5000000</v>
      </c>
      <c r="K20" s="8">
        <f>A20*SUMPRODUCT(Offres!B33:G33,Offres!B8:G8+Offres!B10:G10)/'Credits Kinn'!$B$17</f>
        <v>1904761.9047619051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Catalogue LLM</vt:lpstr>
      <vt:lpstr>Cout reel IA</vt:lpstr>
      <vt:lpstr>Execution</vt:lpstr>
      <vt:lpstr>Credits Kinn</vt:lpstr>
      <vt:lpstr>AWS Infrastructure</vt:lpstr>
      <vt:lpstr>Offres</vt:lpstr>
      <vt:lpstr>Benchmark Concurrents</vt:lpstr>
      <vt:lpstr>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Edouard Bernier-Nahon</cp:lastModifiedBy>
  <cp:revision>0</cp:revision>
  <dcterms:created xsi:type="dcterms:W3CDTF">2026-03-18T16:19:53Z</dcterms:created>
  <dcterms:modified xsi:type="dcterms:W3CDTF">2026-03-19T09:48:47Z</dcterms:modified>
  <dc:language>fr-FR</dc:language>
</cp:coreProperties>
</file>