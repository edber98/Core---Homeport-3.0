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edouardbernier/Documents/Projets/i55/Projet/Core 2.0/Application/Homeport 1.0/Simulator consultant/"/>
    </mc:Choice>
  </mc:AlternateContent>
  <xr:revisionPtr revIDLastSave="0" documentId="13_ncr:1_{7E0D0BD8-4459-BD40-8A7E-FB50033176C3}" xr6:coauthVersionLast="47" xr6:coauthVersionMax="47" xr10:uidLastSave="{00000000-0000-0000-0000-000000000000}"/>
  <bookViews>
    <workbookView minimized="1" xWindow="0" yWindow="3240" windowWidth="29400" windowHeight="17620" tabRatio="500" activeTab="2" xr2:uid="{00000000-000D-0000-FFFF-FFFF00000000}"/>
  </bookViews>
  <sheets>
    <sheet name="Catalogue EC2" sheetId="1" r:id="rId1"/>
    <sheet name="Parametres" sheetId="2" r:id="rId2"/>
    <sheet name="Simulateur" sheetId="3" r:id="rId3"/>
    <sheet name="Scenarios" sheetId="4" r:id="rId4"/>
    <sheet name="Scaling" sheetId="5" r:id="rId5"/>
    <sheet name="Executi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" i="6" l="1"/>
  <c r="D37" i="6"/>
  <c r="D36" i="6"/>
  <c r="D35" i="6"/>
  <c r="B26" i="6"/>
  <c r="B10" i="6"/>
  <c r="B11" i="6" s="1"/>
  <c r="B13" i="6" s="1"/>
  <c r="R24" i="5"/>
  <c r="Q24" i="5"/>
  <c r="O24" i="5"/>
  <c r="N24" i="5"/>
  <c r="G24" i="5"/>
  <c r="F24" i="5"/>
  <c r="C24" i="5"/>
  <c r="E24" i="5" s="1"/>
  <c r="I24" i="5" s="1"/>
  <c r="B24" i="5"/>
  <c r="D24" i="5" s="1"/>
  <c r="H24" i="5" s="1"/>
  <c r="R23" i="5"/>
  <c r="Q23" i="5"/>
  <c r="O23" i="5"/>
  <c r="N23" i="5"/>
  <c r="G23" i="5"/>
  <c r="F23" i="5"/>
  <c r="C23" i="5"/>
  <c r="E23" i="5" s="1"/>
  <c r="I23" i="5" s="1"/>
  <c r="B23" i="5"/>
  <c r="D23" i="5" s="1"/>
  <c r="H23" i="5" s="1"/>
  <c r="R22" i="5"/>
  <c r="Q22" i="5"/>
  <c r="O22" i="5"/>
  <c r="N22" i="5"/>
  <c r="G22" i="5"/>
  <c r="F22" i="5"/>
  <c r="E22" i="5"/>
  <c r="I22" i="5" s="1"/>
  <c r="D22" i="5"/>
  <c r="H22" i="5" s="1"/>
  <c r="J22" i="5" s="1"/>
  <c r="K22" i="5" s="1"/>
  <c r="L22" i="5" s="1"/>
  <c r="C22" i="5"/>
  <c r="B22" i="5"/>
  <c r="R21" i="5"/>
  <c r="Q21" i="5"/>
  <c r="O21" i="5"/>
  <c r="N21" i="5"/>
  <c r="G21" i="5"/>
  <c r="F21" i="5"/>
  <c r="E21" i="5"/>
  <c r="D21" i="5"/>
  <c r="C21" i="5"/>
  <c r="B21" i="5"/>
  <c r="R20" i="5"/>
  <c r="Q20" i="5"/>
  <c r="O20" i="5"/>
  <c r="N20" i="5"/>
  <c r="G20" i="5"/>
  <c r="F20" i="5"/>
  <c r="C20" i="5"/>
  <c r="E20" i="5" s="1"/>
  <c r="I20" i="5" s="1"/>
  <c r="B20" i="5"/>
  <c r="D20" i="5" s="1"/>
  <c r="H20" i="5" s="1"/>
  <c r="J20" i="5" s="1"/>
  <c r="K20" i="5" s="1"/>
  <c r="L20" i="5" s="1"/>
  <c r="R19" i="5"/>
  <c r="Q19" i="5"/>
  <c r="O19" i="5"/>
  <c r="N19" i="5"/>
  <c r="G19" i="5"/>
  <c r="F19" i="5"/>
  <c r="C19" i="5"/>
  <c r="E19" i="5" s="1"/>
  <c r="I19" i="5" s="1"/>
  <c r="B19" i="5"/>
  <c r="D19" i="5" s="1"/>
  <c r="H19" i="5" s="1"/>
  <c r="R18" i="5"/>
  <c r="Q18" i="5"/>
  <c r="O18" i="5"/>
  <c r="N18" i="5"/>
  <c r="G18" i="5"/>
  <c r="F18" i="5"/>
  <c r="C18" i="5"/>
  <c r="E18" i="5" s="1"/>
  <c r="I18" i="5" s="1"/>
  <c r="B18" i="5"/>
  <c r="D18" i="5" s="1"/>
  <c r="H18" i="5" s="1"/>
  <c r="R17" i="5"/>
  <c r="Q17" i="5"/>
  <c r="O17" i="5"/>
  <c r="N17" i="5"/>
  <c r="G17" i="5"/>
  <c r="F17" i="5"/>
  <c r="E17" i="5"/>
  <c r="I17" i="5" s="1"/>
  <c r="D17" i="5"/>
  <c r="H17" i="5" s="1"/>
  <c r="C17" i="5"/>
  <c r="B17" i="5"/>
  <c r="R16" i="5"/>
  <c r="Q16" i="5"/>
  <c r="O16" i="5"/>
  <c r="N16" i="5"/>
  <c r="G16" i="5"/>
  <c r="F16" i="5"/>
  <c r="E16" i="5"/>
  <c r="D16" i="5"/>
  <c r="C16" i="5"/>
  <c r="B16" i="5"/>
  <c r="R15" i="5"/>
  <c r="Q15" i="5"/>
  <c r="O15" i="5"/>
  <c r="N15" i="5"/>
  <c r="G15" i="5"/>
  <c r="F15" i="5"/>
  <c r="C15" i="5"/>
  <c r="E15" i="5" s="1"/>
  <c r="I15" i="5" s="1"/>
  <c r="B15" i="5"/>
  <c r="D15" i="5" s="1"/>
  <c r="H15" i="5" s="1"/>
  <c r="R14" i="5"/>
  <c r="Q14" i="5"/>
  <c r="O14" i="5"/>
  <c r="N14" i="5"/>
  <c r="G14" i="5"/>
  <c r="F14" i="5"/>
  <c r="C14" i="5"/>
  <c r="E14" i="5" s="1"/>
  <c r="I14" i="5" s="1"/>
  <c r="B14" i="5"/>
  <c r="D14" i="5" s="1"/>
  <c r="H14" i="5" s="1"/>
  <c r="R13" i="5"/>
  <c r="Q13" i="5"/>
  <c r="O13" i="5"/>
  <c r="N13" i="5"/>
  <c r="G13" i="5"/>
  <c r="F13" i="5"/>
  <c r="C13" i="5"/>
  <c r="E13" i="5" s="1"/>
  <c r="I13" i="5" s="1"/>
  <c r="B13" i="5"/>
  <c r="D13" i="5" s="1"/>
  <c r="H13" i="5" s="1"/>
  <c r="J13" i="5" s="1"/>
  <c r="K13" i="5" s="1"/>
  <c r="L13" i="5" s="1"/>
  <c r="R12" i="5"/>
  <c r="Q12" i="5"/>
  <c r="O12" i="5"/>
  <c r="N12" i="5"/>
  <c r="G12" i="5"/>
  <c r="F12" i="5"/>
  <c r="E12" i="5"/>
  <c r="I12" i="5" s="1"/>
  <c r="D12" i="5"/>
  <c r="H12" i="5" s="1"/>
  <c r="C12" i="5"/>
  <c r="B12" i="5"/>
  <c r="R11" i="5"/>
  <c r="Q11" i="5"/>
  <c r="O11" i="5"/>
  <c r="N11" i="5"/>
  <c r="G11" i="5"/>
  <c r="F11" i="5"/>
  <c r="E11" i="5"/>
  <c r="D11" i="5"/>
  <c r="C11" i="5"/>
  <c r="B11" i="5"/>
  <c r="R10" i="5"/>
  <c r="Q10" i="5"/>
  <c r="O10" i="5"/>
  <c r="N10" i="5"/>
  <c r="G10" i="5"/>
  <c r="F10" i="5"/>
  <c r="C10" i="5"/>
  <c r="E10" i="5" s="1"/>
  <c r="I10" i="5" s="1"/>
  <c r="B10" i="5"/>
  <c r="D10" i="5" s="1"/>
  <c r="H10" i="5" s="1"/>
  <c r="R9" i="5"/>
  <c r="Q9" i="5"/>
  <c r="O9" i="5"/>
  <c r="N9" i="5"/>
  <c r="G9" i="5"/>
  <c r="F9" i="5"/>
  <c r="C9" i="5"/>
  <c r="E9" i="5" s="1"/>
  <c r="I9" i="5" s="1"/>
  <c r="B9" i="5"/>
  <c r="D9" i="5" s="1"/>
  <c r="H9" i="5" s="1"/>
  <c r="R8" i="5"/>
  <c r="Q8" i="5"/>
  <c r="O8" i="5"/>
  <c r="N8" i="5"/>
  <c r="G8" i="5"/>
  <c r="F8" i="5"/>
  <c r="C8" i="5"/>
  <c r="E8" i="5" s="1"/>
  <c r="I8" i="5" s="1"/>
  <c r="B8" i="5"/>
  <c r="D8" i="5" s="1"/>
  <c r="H8" i="5" s="1"/>
  <c r="J8" i="5" s="1"/>
  <c r="K8" i="5" s="1"/>
  <c r="L8" i="5" s="1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4" i="4"/>
  <c r="F24" i="4"/>
  <c r="E24" i="4"/>
  <c r="D24" i="4"/>
  <c r="C24" i="4"/>
  <c r="B24" i="4"/>
  <c r="G23" i="4"/>
  <c r="F23" i="4"/>
  <c r="E23" i="4"/>
  <c r="D23" i="4"/>
  <c r="C23" i="4"/>
  <c r="B23" i="4"/>
  <c r="G15" i="4"/>
  <c r="F15" i="4"/>
  <c r="E15" i="4"/>
  <c r="D15" i="4"/>
  <c r="C15" i="4"/>
  <c r="B15" i="4"/>
  <c r="G14" i="4"/>
  <c r="F14" i="4"/>
  <c r="E14" i="4"/>
  <c r="D14" i="4"/>
  <c r="D16" i="4" s="1"/>
  <c r="D18" i="4" s="1"/>
  <c r="D19" i="4" s="1"/>
  <c r="D20" i="4" s="1"/>
  <c r="C14" i="4"/>
  <c r="B14" i="4"/>
  <c r="G12" i="4"/>
  <c r="G16" i="4" s="1"/>
  <c r="F12" i="4"/>
  <c r="F16" i="4" s="1"/>
  <c r="D12" i="4"/>
  <c r="G11" i="4"/>
  <c r="G13" i="4" s="1"/>
  <c r="G17" i="4" s="1"/>
  <c r="F11" i="4"/>
  <c r="F13" i="4" s="1"/>
  <c r="F17" i="4" s="1"/>
  <c r="E11" i="4"/>
  <c r="E13" i="4" s="1"/>
  <c r="E17" i="4" s="1"/>
  <c r="D11" i="4"/>
  <c r="D13" i="4" s="1"/>
  <c r="D17" i="4" s="1"/>
  <c r="C11" i="4"/>
  <c r="C13" i="4" s="1"/>
  <c r="C17" i="4" s="1"/>
  <c r="B11" i="4"/>
  <c r="B13" i="4" s="1"/>
  <c r="B17" i="4" s="1"/>
  <c r="G10" i="4"/>
  <c r="F10" i="4"/>
  <c r="E10" i="4"/>
  <c r="E12" i="4" s="1"/>
  <c r="E16" i="4" s="1"/>
  <c r="E18" i="4" s="1"/>
  <c r="E19" i="4" s="1"/>
  <c r="E20" i="4" s="1"/>
  <c r="D10" i="4"/>
  <c r="C10" i="4"/>
  <c r="C12" i="4" s="1"/>
  <c r="C16" i="4" s="1"/>
  <c r="C18" i="4" s="1"/>
  <c r="C19" i="4" s="1"/>
  <c r="C20" i="4" s="1"/>
  <c r="B10" i="4"/>
  <c r="B12" i="4" s="1"/>
  <c r="B16" i="4" s="1"/>
  <c r="B18" i="4" s="1"/>
  <c r="B19" i="4" s="1"/>
  <c r="B20" i="4" s="1"/>
  <c r="B39" i="3"/>
  <c r="B38" i="3"/>
  <c r="B37" i="3"/>
  <c r="B36" i="3"/>
  <c r="B35" i="3"/>
  <c r="B34" i="3"/>
  <c r="B32" i="3"/>
  <c r="B31" i="3"/>
  <c r="B20" i="3"/>
  <c r="B19" i="3"/>
  <c r="B17" i="3"/>
  <c r="B23" i="3" s="1"/>
  <c r="B16" i="3"/>
  <c r="B22" i="3" s="1"/>
  <c r="B24" i="3" s="1"/>
  <c r="B26" i="3" s="1"/>
  <c r="B27" i="3" s="1"/>
  <c r="B14" i="3"/>
  <c r="B13" i="3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J9" i="5" l="1"/>
  <c r="K9" i="5" s="1"/>
  <c r="L9" i="5" s="1"/>
  <c r="J14" i="5"/>
  <c r="K14" i="5" s="1"/>
  <c r="L14" i="5" s="1"/>
  <c r="J10" i="5"/>
  <c r="K10" i="5" s="1"/>
  <c r="L10" i="5" s="1"/>
  <c r="J12" i="5"/>
  <c r="K12" i="5" s="1"/>
  <c r="L12" i="5" s="1"/>
  <c r="M12" i="5" s="1"/>
  <c r="J23" i="5"/>
  <c r="K23" i="5" s="1"/>
  <c r="L23" i="5" s="1"/>
  <c r="W23" i="5" s="1"/>
  <c r="M10" i="5"/>
  <c r="W10" i="5"/>
  <c r="V10" i="5"/>
  <c r="P10" i="5"/>
  <c r="P13" i="5"/>
  <c r="W13" i="5"/>
  <c r="M13" i="5"/>
  <c r="V13" i="5"/>
  <c r="P8" i="5"/>
  <c r="M8" i="5"/>
  <c r="W8" i="5"/>
  <c r="V8" i="5"/>
  <c r="D22" i="4"/>
  <c r="D36" i="4"/>
  <c r="D25" i="4"/>
  <c r="B25" i="4"/>
  <c r="B22" i="4"/>
  <c r="B33" i="4" s="1"/>
  <c r="B34" i="4" s="1"/>
  <c r="B35" i="4" s="1"/>
  <c r="P9" i="5"/>
  <c r="M9" i="5"/>
  <c r="S9" i="5" s="1"/>
  <c r="T9" i="5" s="1"/>
  <c r="U9" i="5" s="1"/>
  <c r="V9" i="5"/>
  <c r="W9" i="5"/>
  <c r="M22" i="5"/>
  <c r="P22" i="5"/>
  <c r="B33" i="3"/>
  <c r="B30" i="3"/>
  <c r="V20" i="5"/>
  <c r="W20" i="5"/>
  <c r="M20" i="5"/>
  <c r="P20" i="5"/>
  <c r="E36" i="4"/>
  <c r="W12" i="5"/>
  <c r="J19" i="5"/>
  <c r="K19" i="5" s="1"/>
  <c r="L19" i="5" s="1"/>
  <c r="V22" i="5"/>
  <c r="P14" i="5"/>
  <c r="M14" i="5"/>
  <c r="W14" i="5"/>
  <c r="V14" i="5"/>
  <c r="G18" i="4"/>
  <c r="G19" i="4" s="1"/>
  <c r="G20" i="4" s="1"/>
  <c r="E37" i="4"/>
  <c r="B36" i="4"/>
  <c r="F37" i="4"/>
  <c r="C36" i="4"/>
  <c r="G37" i="4"/>
  <c r="H11" i="5"/>
  <c r="W22" i="5"/>
  <c r="B45" i="3"/>
  <c r="B46" i="3"/>
  <c r="G36" i="4"/>
  <c r="J18" i="5"/>
  <c r="K18" i="5" s="1"/>
  <c r="L18" i="5" s="1"/>
  <c r="B20" i="6"/>
  <c r="B21" i="6" s="1"/>
  <c r="B22" i="6" s="1"/>
  <c r="E39" i="6"/>
  <c r="F39" i="6" s="1"/>
  <c r="E38" i="6"/>
  <c r="F38" i="6" s="1"/>
  <c r="E35" i="6"/>
  <c r="F35" i="6" s="1"/>
  <c r="E37" i="6"/>
  <c r="F37" i="6" s="1"/>
  <c r="E36" i="6"/>
  <c r="F36" i="6" s="1"/>
  <c r="E22" i="4"/>
  <c r="E25" i="4"/>
  <c r="F18" i="4"/>
  <c r="F19" i="4" s="1"/>
  <c r="F20" i="4" s="1"/>
  <c r="D37" i="4"/>
  <c r="B28" i="6"/>
  <c r="C22" i="4"/>
  <c r="C25" i="4"/>
  <c r="B37" i="4"/>
  <c r="C37" i="4"/>
  <c r="J15" i="5"/>
  <c r="K15" i="5" s="1"/>
  <c r="L15" i="5" s="1"/>
  <c r="J17" i="5"/>
  <c r="K17" i="5" s="1"/>
  <c r="L17" i="5" s="1"/>
  <c r="W17" i="5" s="1"/>
  <c r="J24" i="5"/>
  <c r="K24" i="5" s="1"/>
  <c r="L24" i="5" s="1"/>
  <c r="V23" i="5"/>
  <c r="H16" i="5"/>
  <c r="H21" i="5"/>
  <c r="I21" i="5"/>
  <c r="I11" i="5"/>
  <c r="B27" i="6"/>
  <c r="B29" i="6" s="1"/>
  <c r="I16" i="5"/>
  <c r="B41" i="3" l="1"/>
  <c r="B42" i="3" s="1"/>
  <c r="B43" i="3" s="1"/>
  <c r="M23" i="5"/>
  <c r="S14" i="5"/>
  <c r="T14" i="5" s="1"/>
  <c r="U14" i="5" s="1"/>
  <c r="V12" i="5"/>
  <c r="P23" i="5"/>
  <c r="P12" i="5"/>
  <c r="S13" i="5"/>
  <c r="T13" i="5" s="1"/>
  <c r="U13" i="5" s="1"/>
  <c r="S12" i="5"/>
  <c r="T12" i="5" s="1"/>
  <c r="U12" i="5" s="1"/>
  <c r="S20" i="5"/>
  <c r="T20" i="5" s="1"/>
  <c r="U20" i="5" s="1"/>
  <c r="E33" i="4"/>
  <c r="E34" i="4" s="1"/>
  <c r="E35" i="4" s="1"/>
  <c r="W15" i="5"/>
  <c r="M15" i="5"/>
  <c r="P15" i="5"/>
  <c r="V15" i="5"/>
  <c r="F22" i="4"/>
  <c r="F33" i="4" s="1"/>
  <c r="F34" i="4" s="1"/>
  <c r="F35" i="4" s="1"/>
  <c r="F25" i="4"/>
  <c r="S8" i="5"/>
  <c r="T8" i="5" s="1"/>
  <c r="U8" i="5" s="1"/>
  <c r="M24" i="5"/>
  <c r="P24" i="5"/>
  <c r="W24" i="5"/>
  <c r="V24" i="5"/>
  <c r="M17" i="5"/>
  <c r="P17" i="5"/>
  <c r="C33" i="4"/>
  <c r="C34" i="4" s="1"/>
  <c r="C35" i="4" s="1"/>
  <c r="D33" i="4"/>
  <c r="D34" i="4" s="1"/>
  <c r="D35" i="4" s="1"/>
  <c r="V17" i="5"/>
  <c r="F36" i="4"/>
  <c r="S22" i="5"/>
  <c r="T22" i="5" s="1"/>
  <c r="U22" i="5" s="1"/>
  <c r="J21" i="5"/>
  <c r="K21" i="5" s="1"/>
  <c r="L21" i="5" s="1"/>
  <c r="J16" i="5"/>
  <c r="K16" i="5" s="1"/>
  <c r="L16" i="5" s="1"/>
  <c r="V19" i="5"/>
  <c r="P19" i="5"/>
  <c r="M19" i="5"/>
  <c r="W19" i="5"/>
  <c r="S23" i="5"/>
  <c r="T23" i="5" s="1"/>
  <c r="U23" i="5" s="1"/>
  <c r="P18" i="5"/>
  <c r="V18" i="5"/>
  <c r="W18" i="5"/>
  <c r="M18" i="5"/>
  <c r="J11" i="5"/>
  <c r="K11" i="5" s="1"/>
  <c r="L11" i="5" s="1"/>
  <c r="G22" i="4"/>
  <c r="G25" i="4"/>
  <c r="S10" i="5"/>
  <c r="T10" i="5" s="1"/>
  <c r="U10" i="5" s="1"/>
  <c r="S19" i="5" l="1"/>
  <c r="T19" i="5" s="1"/>
  <c r="U19" i="5" s="1"/>
  <c r="S24" i="5"/>
  <c r="T24" i="5" s="1"/>
  <c r="U24" i="5" s="1"/>
  <c r="S18" i="5"/>
  <c r="T18" i="5" s="1"/>
  <c r="U18" i="5" s="1"/>
  <c r="M21" i="5"/>
  <c r="P21" i="5"/>
  <c r="W21" i="5"/>
  <c r="V21" i="5"/>
  <c r="S17" i="5"/>
  <c r="T17" i="5" s="1"/>
  <c r="U17" i="5" s="1"/>
  <c r="S15" i="5"/>
  <c r="T15" i="5" s="1"/>
  <c r="U15" i="5" s="1"/>
  <c r="G33" i="4"/>
  <c r="G34" i="4" s="1"/>
  <c r="G35" i="4" s="1"/>
  <c r="M11" i="5"/>
  <c r="P11" i="5"/>
  <c r="V11" i="5"/>
  <c r="W11" i="5"/>
  <c r="M16" i="5"/>
  <c r="P16" i="5"/>
  <c r="V16" i="5"/>
  <c r="W16" i="5"/>
  <c r="S11" i="5" l="1"/>
  <c r="T11" i="5" s="1"/>
  <c r="U11" i="5" s="1"/>
  <c r="S16" i="5"/>
  <c r="T16" i="5" s="1"/>
  <c r="U16" i="5" s="1"/>
  <c r="S21" i="5"/>
  <c r="T21" i="5" s="1"/>
  <c r="U21" i="5" s="1"/>
</calcChain>
</file>

<file path=xl/sharedStrings.xml><?xml version="1.0" encoding="utf-8"?>
<sst xmlns="http://schemas.openxmlformats.org/spreadsheetml/2006/main" count="278" uniqueCount="192">
  <si>
    <t>C4RBON GROUP - Catalogue EC2 AWS</t>
  </si>
  <si>
    <t>Instance</t>
  </si>
  <si>
    <t>Famille</t>
  </si>
  <si>
    <t>Architecture</t>
  </si>
  <si>
    <t>vCPU</t>
  </si>
  <si>
    <t>RAM (GiB)</t>
  </si>
  <si>
    <t>Prix/h ($)</t>
  </si>
  <si>
    <t>Prix/mois ($)</t>
  </si>
  <si>
    <t>t3.micro</t>
  </si>
  <si>
    <t>T3</t>
  </si>
  <si>
    <t>x86_64</t>
  </si>
  <si>
    <t>t3.small</t>
  </si>
  <si>
    <t>t3.medium</t>
  </si>
  <si>
    <t>t3.large</t>
  </si>
  <si>
    <t>t3.xlarge</t>
  </si>
  <si>
    <t>t4g.micro</t>
  </si>
  <si>
    <t>T4g</t>
  </si>
  <si>
    <t>ARM64</t>
  </si>
  <si>
    <t>t4g.small</t>
  </si>
  <si>
    <t>t4g.medium</t>
  </si>
  <si>
    <t>t4g.large</t>
  </si>
  <si>
    <t>m6i.large</t>
  </si>
  <si>
    <t>M6i</t>
  </si>
  <si>
    <t>m6i.xlarge</t>
  </si>
  <si>
    <t>m7g.medium</t>
  </si>
  <si>
    <t>M7g</t>
  </si>
  <si>
    <t>m7g.large</t>
  </si>
  <si>
    <t>m7g.xlarge</t>
  </si>
  <si>
    <t>C4RBON GROUP - Parametres du simulateur</t>
  </si>
  <si>
    <t>A. Application (par client/tenant)</t>
  </si>
  <si>
    <t>Parametre</t>
  </si>
  <si>
    <t>Valeur</t>
  </si>
  <si>
    <t>Unite</t>
  </si>
  <si>
    <t>CPU idle (vCPU)</t>
  </si>
  <si>
    <t>RAM idle (MB)</t>
  </si>
  <si>
    <t>MB</t>
  </si>
  <si>
    <t>CPU actif (vCPU)</t>
  </si>
  <si>
    <t>RAM actif (MB)</t>
  </si>
  <si>
    <t>CPU burst max (vCPU)</t>
  </si>
  <si>
    <t>RAM burst max (MB)</t>
  </si>
  <si>
    <t>% clients actifs simultanes</t>
  </si>
  <si>
    <t>%</t>
  </si>
  <si>
    <t>Stockage par client (GB EBS)</t>
  </si>
  <si>
    <t>GB</t>
  </si>
  <si>
    <t>B. Overhead K8s + Rancher (par worker node)</t>
  </si>
  <si>
    <t>CPU kubelet</t>
  </si>
  <si>
    <t>CPU system reserved</t>
  </si>
  <si>
    <t>CPU Rancher agent</t>
  </si>
  <si>
    <t>RAM kubelet (MB)</t>
  </si>
  <si>
    <t>RAM system reserved (MB)</t>
  </si>
  <si>
    <t>RAM Rancher agent (MB)</t>
  </si>
  <si>
    <t>CPU kube-proxy + CNI</t>
  </si>
  <si>
    <t>RAM kube-proxy + CNI (MB)</t>
  </si>
  <si>
    <t>Marge de securite</t>
  </si>
  <si>
    <t>C. Control Plane</t>
  </si>
  <si>
    <t>Nombre nodes control plane</t>
  </si>
  <si>
    <t>nodes</t>
  </si>
  <si>
    <t>Instance control plane</t>
  </si>
  <si>
    <t>Prix/h control plane</t>
  </si>
  <si>
    <t>$/h</t>
  </si>
  <si>
    <t>Nombre nodes Rancher server</t>
  </si>
  <si>
    <t>Instance Rancher</t>
  </si>
  <si>
    <t>Prix/h Rancher</t>
  </si>
  <si>
    <t>D. Couts fixes mensuels</t>
  </si>
  <si>
    <t>EBS gp3 ($/GB/mois)</t>
  </si>
  <si>
    <t>$/GB/mois</t>
  </si>
  <si>
    <t>ALB ($/mois)</t>
  </si>
  <si>
    <t>$/mois</t>
  </si>
  <si>
    <t>NAT Gateway ($/mois)</t>
  </si>
  <si>
    <t>Route 53 ($/mois)</t>
  </si>
  <si>
    <t>Data transfer out ($/GB)</t>
  </si>
  <si>
    <t>$/GB</t>
  </si>
  <si>
    <t>Transfer estime (GB/client/mois)</t>
  </si>
  <si>
    <t>GB/client/mois</t>
  </si>
  <si>
    <t>ECR ($/mois)</t>
  </si>
  <si>
    <t>CloudWatch ($/mois)</t>
  </si>
  <si>
    <t>C4RBON GROUP - Simulateur AWS K8s Rancher</t>
  </si>
  <si>
    <t>Configuration</t>
  </si>
  <si>
    <t>Instance type</t>
  </si>
  <si>
    <t>vCPU par worker</t>
  </si>
  <si>
    <t>RAM par worker (GiB)</t>
  </si>
  <si>
    <t>Nombre de clients</t>
  </si>
  <si>
    <t>Heures/mois</t>
  </si>
  <si>
    <t>Capacite par worker</t>
  </si>
  <si>
    <t>Overhead CPU/node (vCPU)</t>
  </si>
  <si>
    <t>Overhead RAM/node (MB)</t>
  </si>
  <si>
    <t>CPU allocable/worker (vCPU)</t>
  </si>
  <si>
    <t>RAM allocable/worker (MB)</t>
  </si>
  <si>
    <t>CPU effectif/client (vCPU)</t>
  </si>
  <si>
    <t>RAM effectif/client (MB)</t>
  </si>
  <si>
    <t>Max clients/worker (CPU)</t>
  </si>
  <si>
    <t>Max clients/worker (RAM)</t>
  </si>
  <si>
    <t>Max clients/worker (final)</t>
  </si>
  <si>
    <t>Workers</t>
  </si>
  <si>
    <t>Workers necessaires</t>
  </si>
  <si>
    <t>Workers avec marge (+10%)</t>
  </si>
  <si>
    <t>Couts mensuels</t>
  </si>
  <si>
    <t>Workers compute</t>
  </si>
  <si>
    <t>Control Plane</t>
  </si>
  <si>
    <t>Rancher Server</t>
  </si>
  <si>
    <t>EBS (clients + workers + CP)</t>
  </si>
  <si>
    <t>ALB</t>
  </si>
  <si>
    <t>NAT Gateway</t>
  </si>
  <si>
    <t>Route 53</t>
  </si>
  <si>
    <t>Data Transfer</t>
  </si>
  <si>
    <t>ECR</t>
  </si>
  <si>
    <t>CloudWatch</t>
  </si>
  <si>
    <t>TOTAL MENSUEL</t>
  </si>
  <si>
    <t>Par client/mois</t>
  </si>
  <si>
    <t>Par client/jour</t>
  </si>
  <si>
    <t>Utilisation cluster</t>
  </si>
  <si>
    <t>Utilisation CPU cluster (%)</t>
  </si>
  <si>
    <t>Utilisation RAM cluster (%)</t>
  </si>
  <si>
    <t>C4RBON GROUP - Scenarios de deploiement</t>
  </si>
  <si>
    <t>Metrique</t>
  </si>
  <si>
    <t>Starter</t>
  </si>
  <si>
    <t>Small</t>
  </si>
  <si>
    <t>Medium</t>
  </si>
  <si>
    <t>Growth</t>
  </si>
  <si>
    <t>Scale</t>
  </si>
  <si>
    <t>Enterprise</t>
  </si>
  <si>
    <t>CPU allocable/worker</t>
  </si>
  <si>
    <t>CPU effectif/client</t>
  </si>
  <si>
    <t>Workers avec marge</t>
  </si>
  <si>
    <t>Workers compute ($)</t>
  </si>
  <si>
    <t>Control Plane ($)</t>
  </si>
  <si>
    <t>Rancher Server ($)</t>
  </si>
  <si>
    <t>EBS ($)</t>
  </si>
  <si>
    <t>ALB ($)</t>
  </si>
  <si>
    <t>NAT Gateway ($)</t>
  </si>
  <si>
    <t>Route 53 ($)</t>
  </si>
  <si>
    <t>Data Transfer ($)</t>
  </si>
  <si>
    <t>ECR ($)</t>
  </si>
  <si>
    <t>CloudWatch ($)</t>
  </si>
  <si>
    <t>TOTAL MENSUEL ($)</t>
  </si>
  <si>
    <t>Par client/mois ($)</t>
  </si>
  <si>
    <t>Par client/jour ($)</t>
  </si>
  <si>
    <t>Utilisation CPU (%)</t>
  </si>
  <si>
    <t>Utilisation RAM (%)</t>
  </si>
  <si>
    <t>C4RBON GROUP - Courbe de scaling</t>
  </si>
  <si>
    <t>Clients</t>
  </si>
  <si>
    <t>OH CPU/node</t>
  </si>
  <si>
    <t>OH RAM/node (MB)</t>
  </si>
  <si>
    <t>CPU alloc/worker</t>
  </si>
  <si>
    <t>RAM alloc/worker (MB)</t>
  </si>
  <si>
    <t>CPU eff/client</t>
  </si>
  <si>
    <t>RAM eff/client (MB)</t>
  </si>
  <si>
    <t>Max cli/w (CPU)</t>
  </si>
  <si>
    <t>Max cli/w (RAM)</t>
  </si>
  <si>
    <t>Max cli/w (final)</t>
  </si>
  <si>
    <t>Workers req.</t>
  </si>
  <si>
    <t>Workers + marge</t>
  </si>
  <si>
    <t>Cout workers/mois</t>
  </si>
  <si>
    <t>Cout CP/mois</t>
  </si>
  <si>
    <t>Cout Rancher/mois</t>
  </si>
  <si>
    <t>Cout EBS/mois</t>
  </si>
  <si>
    <t>Cout infra fixe/mois</t>
  </si>
  <si>
    <t>Cout Transfer/mois</t>
  </si>
  <si>
    <t>TOTAL mensuel</t>
  </si>
  <si>
    <t>Util. CPU (%)</t>
  </si>
  <si>
    <t>Util. RAM (%)</t>
  </si>
  <si>
    <t>C4RBON GROUP - Cout et marge par execution</t>
  </si>
  <si>
    <t>A. Cout d'une execution de workflow</t>
  </si>
  <si>
    <t>Duree moyenne execution (secondes)</t>
  </si>
  <si>
    <t>CPU par execution (vCPU)</t>
  </si>
  <si>
    <t>RAM par execution (MB)</t>
  </si>
  <si>
    <t>Instance worker prix/h ($)</t>
  </si>
  <si>
    <t>Cout CPU par seconde ($)</t>
  </si>
  <si>
    <t>Cout par execution (CPU) ($)</t>
  </si>
  <si>
    <t>Cout stockage/execution (S3, logs) ($)</t>
  </si>
  <si>
    <t>Cout total par execution ($)</t>
  </si>
  <si>
    <t>B. Tarification et marge</t>
  </si>
  <si>
    <t>Prix facture par execution HT ($)</t>
  </si>
  <si>
    <t>Cout par execution ($)</t>
  </si>
  <si>
    <t>Marge brute par execution ($)</t>
  </si>
  <si>
    <t>Marge brute (%)</t>
  </si>
  <si>
    <t>Executions/client/mois (estime)</t>
  </si>
  <si>
    <t>Executions totales/mois</t>
  </si>
  <si>
    <t>Revenu executions/mois ($)</t>
  </si>
  <si>
    <t>Cout executions/mois ($)</t>
  </si>
  <si>
    <t>Marge executions/mois ($)</t>
  </si>
  <si>
    <t>C. Grille tarifaire executions</t>
  </si>
  <si>
    <t>Palier</t>
  </si>
  <si>
    <t>Exec. incluses/mois</t>
  </si>
  <si>
    <t>Prix forfait/mois ($)</t>
  </si>
  <si>
    <t>Prix unit. equiv. ($)</t>
  </si>
  <si>
    <t>Cout reel ($)</t>
  </si>
  <si>
    <t>Marge ($)</t>
  </si>
  <si>
    <t>Pro</t>
  </si>
  <si>
    <t>Business</t>
  </si>
  <si>
    <t>Pay-as-you-go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</si>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</sst>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00"/>
    <numFmt numFmtId="165" formatCode="\$#,##0.00"/>
    <numFmt numFmtId="166" formatCode="0.0%"/>
    <numFmt numFmtId="167" formatCode="#,##0.0000"/>
    <numFmt numFmtId="168" formatCode="\$#,##0.000000"/>
  </numFmts>
  <fonts count="7" x14ac:knownFonts="1">
    <font>
      <sz val="11"/>
      <color theme="1"/>
      <name val="Calibri"/>
      <family val="2"/>
      <charset val="1"/>
    </font>
    <font>
      <b/>
      <sz val="16"/>
      <name val="Poppins"/>
    </font>
    <font>
      <b/>
      <sz val="11"/>
      <color rgb="FFFFFFFF"/>
      <name val="Poppins"/>
    </font>
    <font>
      <sz val="11"/>
      <name val="Poppins"/>
    </font>
    <font>
      <b/>
      <sz val="12"/>
      <name val="Poppins"/>
    </font>
    <font>
      <sz val="11"/>
      <color rgb="FF0000FF"/>
      <name val="Poppins"/>
    </font>
    <font>
      <b/>
      <sz val="11"/>
      <name val="Poppins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5" fontId="3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5" fontId="3" fillId="4" borderId="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4" fontId="5" fillId="3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166" fontId="5" fillId="3" borderId="1" xfId="0" applyNumberFormat="1" applyFont="1" applyFill="1" applyBorder="1" applyAlignment="1">
      <alignment vertical="center"/>
    </xf>
    <xf numFmtId="4" fontId="5" fillId="4" borderId="1" xfId="0" applyNumberFormat="1" applyFont="1" applyFill="1" applyBorder="1" applyAlignment="1">
      <alignment vertical="center"/>
    </xf>
    <xf numFmtId="3" fontId="5" fillId="3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165" fontId="5" fillId="4" borderId="1" xfId="0" applyNumberFormat="1" applyFont="1" applyFill="1" applyBorder="1" applyAlignment="1">
      <alignment vertical="center"/>
    </xf>
    <xf numFmtId="165" fontId="5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7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vertical="center"/>
    </xf>
    <xf numFmtId="167" fontId="3" fillId="3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166" fontId="3" fillId="3" borderId="1" xfId="0" applyNumberFormat="1" applyFont="1" applyFill="1" applyBorder="1" applyAlignment="1">
      <alignment vertical="center"/>
    </xf>
    <xf numFmtId="3" fontId="6" fillId="4" borderId="1" xfId="0" applyNumberFormat="1" applyFont="1" applyFill="1" applyBorder="1" applyAlignment="1">
      <alignment vertical="center"/>
    </xf>
    <xf numFmtId="167" fontId="3" fillId="4" borderId="1" xfId="0" applyNumberFormat="1" applyFont="1" applyFill="1" applyBorder="1" applyAlignment="1">
      <alignment vertical="center"/>
    </xf>
    <xf numFmtId="165" fontId="6" fillId="4" borderId="1" xfId="0" applyNumberFormat="1" applyFont="1" applyFill="1" applyBorder="1" applyAlignment="1">
      <alignment vertical="center"/>
    </xf>
    <xf numFmtId="166" fontId="3" fillId="4" borderId="1" xfId="0" applyNumberFormat="1" applyFont="1" applyFill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168" fontId="3" fillId="0" borderId="1" xfId="0" applyNumberFormat="1" applyFont="1" applyBorder="1" applyAlignment="1">
      <alignment vertical="center"/>
    </xf>
    <xf numFmtId="168" fontId="6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168" fontId="3" fillId="3" borderId="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3333"/>
  </sheetPr>
  <dimension ref="A1:G17"/>
  <sheetViews>
    <sheetView zoomScaleNormal="100" workbookViewId="0">
      <selection activeCell="F12" sqref="F12"/>
    </sheetView>
  </sheetViews>
  <sheetFormatPr baseColWidth="10" defaultColWidth="8.6640625" defaultRowHeight="15" x14ac:dyDescent="0.2"/>
  <cols>
    <col min="1" max="1" width="16" customWidth="1"/>
    <col min="2" max="2" width="10" customWidth="1"/>
    <col min="3" max="3" width="14" customWidth="1"/>
    <col min="4" max="4" width="8" customWidth="1"/>
    <col min="5" max="5" width="12" customWidth="1"/>
    <col min="6" max="7" width="14" customWidth="1"/>
  </cols>
  <sheetData>
    <row r="1" spans="1:7" ht="27" x14ac:dyDescent="0.2">
      <c r="A1" s="51" t="s">
        <v>0</v>
      </c>
      <c r="B1" s="51"/>
      <c r="C1" s="51"/>
      <c r="D1" s="51"/>
      <c r="E1" s="51"/>
      <c r="F1" s="51"/>
      <c r="G1" s="51"/>
    </row>
    <row r="3" spans="1:7" ht="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18" x14ac:dyDescent="0.2">
      <c r="A4" s="2" t="s">
        <v>8</v>
      </c>
      <c r="B4" s="2" t="s">
        <v>9</v>
      </c>
      <c r="C4" s="2" t="s">
        <v>10</v>
      </c>
      <c r="D4" s="3">
        <v>2</v>
      </c>
      <c r="E4" s="3">
        <v>1</v>
      </c>
      <c r="F4" s="4">
        <v>1.04E-2</v>
      </c>
      <c r="G4" s="5">
        <f t="shared" ref="G4:G17" si="0">F4*730</f>
        <v>7.5919999999999996</v>
      </c>
    </row>
    <row r="5" spans="1:7" ht="18" x14ac:dyDescent="0.2">
      <c r="A5" s="6" t="s">
        <v>11</v>
      </c>
      <c r="B5" s="6" t="s">
        <v>9</v>
      </c>
      <c r="C5" s="6" t="s">
        <v>10</v>
      </c>
      <c r="D5" s="7">
        <v>2</v>
      </c>
      <c r="E5" s="7">
        <v>2</v>
      </c>
      <c r="F5" s="8">
        <v>2.0799999999999999E-2</v>
      </c>
      <c r="G5" s="9">
        <f t="shared" si="0"/>
        <v>15.183999999999999</v>
      </c>
    </row>
    <row r="6" spans="1:7" ht="18" x14ac:dyDescent="0.2">
      <c r="A6" s="2" t="s">
        <v>12</v>
      </c>
      <c r="B6" s="2" t="s">
        <v>9</v>
      </c>
      <c r="C6" s="2" t="s">
        <v>10</v>
      </c>
      <c r="D6" s="3">
        <v>2</v>
      </c>
      <c r="E6" s="3">
        <v>4</v>
      </c>
      <c r="F6" s="4">
        <v>4.1599999999999998E-2</v>
      </c>
      <c r="G6" s="5">
        <f t="shared" si="0"/>
        <v>30.367999999999999</v>
      </c>
    </row>
    <row r="7" spans="1:7" ht="18" x14ac:dyDescent="0.2">
      <c r="A7" s="6" t="s">
        <v>13</v>
      </c>
      <c r="B7" s="6" t="s">
        <v>9</v>
      </c>
      <c r="C7" s="6" t="s">
        <v>10</v>
      </c>
      <c r="D7" s="7">
        <v>2</v>
      </c>
      <c r="E7" s="7">
        <v>8</v>
      </c>
      <c r="F7" s="8">
        <v>8.3199999999999996E-2</v>
      </c>
      <c r="G7" s="9">
        <f t="shared" si="0"/>
        <v>60.735999999999997</v>
      </c>
    </row>
    <row r="8" spans="1:7" ht="18" x14ac:dyDescent="0.2">
      <c r="A8" s="2" t="s">
        <v>14</v>
      </c>
      <c r="B8" s="2" t="s">
        <v>9</v>
      </c>
      <c r="C8" s="2" t="s">
        <v>10</v>
      </c>
      <c r="D8" s="3">
        <v>4</v>
      </c>
      <c r="E8" s="3">
        <v>16</v>
      </c>
      <c r="F8" s="4">
        <v>0.16639999999999999</v>
      </c>
      <c r="G8" s="5">
        <f t="shared" si="0"/>
        <v>121.47199999999999</v>
      </c>
    </row>
    <row r="9" spans="1:7" ht="18" x14ac:dyDescent="0.2">
      <c r="A9" s="6" t="s">
        <v>15</v>
      </c>
      <c r="B9" s="6" t="s">
        <v>16</v>
      </c>
      <c r="C9" s="6" t="s">
        <v>17</v>
      </c>
      <c r="D9" s="7">
        <v>2</v>
      </c>
      <c r="E9" s="7">
        <v>1</v>
      </c>
      <c r="F9" s="8">
        <v>8.3999999999999995E-3</v>
      </c>
      <c r="G9" s="9">
        <f t="shared" si="0"/>
        <v>6.1319999999999997</v>
      </c>
    </row>
    <row r="10" spans="1:7" ht="18" x14ac:dyDescent="0.2">
      <c r="A10" s="2" t="s">
        <v>18</v>
      </c>
      <c r="B10" s="2" t="s">
        <v>16</v>
      </c>
      <c r="C10" s="2" t="s">
        <v>17</v>
      </c>
      <c r="D10" s="3">
        <v>2</v>
      </c>
      <c r="E10" s="3">
        <v>2</v>
      </c>
      <c r="F10" s="4">
        <v>1.6799999999999999E-2</v>
      </c>
      <c r="G10" s="5">
        <f t="shared" si="0"/>
        <v>12.263999999999999</v>
      </c>
    </row>
    <row r="11" spans="1:7" ht="18" x14ac:dyDescent="0.2">
      <c r="A11" s="6" t="s">
        <v>19</v>
      </c>
      <c r="B11" s="6" t="s">
        <v>16</v>
      </c>
      <c r="C11" s="6" t="s">
        <v>17</v>
      </c>
      <c r="D11" s="7">
        <v>2</v>
      </c>
      <c r="E11" s="7">
        <v>4</v>
      </c>
      <c r="F11" s="8">
        <v>3.3599999999999998E-2</v>
      </c>
      <c r="G11" s="9">
        <f t="shared" si="0"/>
        <v>24.527999999999999</v>
      </c>
    </row>
    <row r="12" spans="1:7" ht="18" x14ac:dyDescent="0.2">
      <c r="A12" s="2" t="s">
        <v>20</v>
      </c>
      <c r="B12" s="2" t="s">
        <v>16</v>
      </c>
      <c r="C12" s="2" t="s">
        <v>17</v>
      </c>
      <c r="D12" s="3">
        <v>2</v>
      </c>
      <c r="E12" s="3">
        <v>8</v>
      </c>
      <c r="F12" s="4">
        <v>6.7199999999999996E-2</v>
      </c>
      <c r="G12" s="5">
        <f t="shared" si="0"/>
        <v>49.055999999999997</v>
      </c>
    </row>
    <row r="13" spans="1:7" ht="18" x14ac:dyDescent="0.2">
      <c r="A13" s="6" t="s">
        <v>21</v>
      </c>
      <c r="B13" s="6" t="s">
        <v>22</v>
      </c>
      <c r="C13" s="6" t="s">
        <v>10</v>
      </c>
      <c r="D13" s="7">
        <v>2</v>
      </c>
      <c r="E13" s="7">
        <v>8</v>
      </c>
      <c r="F13" s="8">
        <v>9.6000000000000002E-2</v>
      </c>
      <c r="G13" s="9">
        <f t="shared" si="0"/>
        <v>70.08</v>
      </c>
    </row>
    <row r="14" spans="1:7" ht="18" x14ac:dyDescent="0.2">
      <c r="A14" s="2" t="s">
        <v>23</v>
      </c>
      <c r="B14" s="2" t="s">
        <v>22</v>
      </c>
      <c r="C14" s="2" t="s">
        <v>10</v>
      </c>
      <c r="D14" s="3">
        <v>4</v>
      </c>
      <c r="E14" s="3">
        <v>16</v>
      </c>
      <c r="F14" s="4">
        <v>0.192</v>
      </c>
      <c r="G14" s="5">
        <f t="shared" si="0"/>
        <v>140.16</v>
      </c>
    </row>
    <row r="15" spans="1:7" ht="18" x14ac:dyDescent="0.2">
      <c r="A15" s="6" t="s">
        <v>24</v>
      </c>
      <c r="B15" s="6" t="s">
        <v>25</v>
      </c>
      <c r="C15" s="6" t="s">
        <v>17</v>
      </c>
      <c r="D15" s="7">
        <v>1</v>
      </c>
      <c r="E15" s="7">
        <v>4</v>
      </c>
      <c r="F15" s="8">
        <v>4.0800000000000003E-2</v>
      </c>
      <c r="G15" s="9">
        <f t="shared" si="0"/>
        <v>29.784000000000002</v>
      </c>
    </row>
    <row r="16" spans="1:7" ht="18" x14ac:dyDescent="0.2">
      <c r="A16" s="2" t="s">
        <v>26</v>
      </c>
      <c r="B16" s="2" t="s">
        <v>25</v>
      </c>
      <c r="C16" s="2" t="s">
        <v>17</v>
      </c>
      <c r="D16" s="3">
        <v>2</v>
      </c>
      <c r="E16" s="3">
        <v>8</v>
      </c>
      <c r="F16" s="4">
        <v>8.1600000000000006E-2</v>
      </c>
      <c r="G16" s="5">
        <f t="shared" si="0"/>
        <v>59.568000000000005</v>
      </c>
    </row>
    <row r="17" spans="1:7" ht="18" x14ac:dyDescent="0.2">
      <c r="A17" s="6" t="s">
        <v>27</v>
      </c>
      <c r="B17" s="6" t="s">
        <v>25</v>
      </c>
      <c r="C17" s="6" t="s">
        <v>17</v>
      </c>
      <c r="D17" s="7">
        <v>4</v>
      </c>
      <c r="E17" s="7">
        <v>16</v>
      </c>
      <c r="F17" s="8">
        <v>0.16320000000000001</v>
      </c>
      <c r="G17" s="9">
        <f t="shared" si="0"/>
        <v>119.13600000000001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3333"/>
  </sheetPr>
  <dimension ref="A1:D44"/>
  <sheetViews>
    <sheetView topLeftCell="A13" zoomScaleNormal="100" workbookViewId="0">
      <selection activeCell="A37" sqref="A37:C37"/>
    </sheetView>
  </sheetViews>
  <sheetFormatPr baseColWidth="10" defaultColWidth="8.6640625" defaultRowHeight="15" x14ac:dyDescent="0.2"/>
  <cols>
    <col min="1" max="1" width="40" customWidth="1"/>
    <col min="2" max="2" width="18" customWidth="1"/>
    <col min="3" max="3" width="14" customWidth="1"/>
  </cols>
  <sheetData>
    <row r="1" spans="1:4" ht="27" x14ac:dyDescent="0.2">
      <c r="A1" s="51" t="s">
        <v>28</v>
      </c>
      <c r="B1" s="51"/>
      <c r="C1" s="51"/>
      <c r="D1" s="51"/>
    </row>
    <row r="3" spans="1:4" ht="19" x14ac:dyDescent="0.2">
      <c r="A3" s="10" t="s">
        <v>29</v>
      </c>
    </row>
    <row r="4" spans="1:4" ht="19" x14ac:dyDescent="0.2">
      <c r="A4" s="1" t="s">
        <v>30</v>
      </c>
      <c r="B4" s="1" t="s">
        <v>31</v>
      </c>
      <c r="C4" s="1" t="s">
        <v>32</v>
      </c>
    </row>
    <row r="5" spans="1:4" ht="18" x14ac:dyDescent="0.2">
      <c r="A5" s="2" t="s">
        <v>33</v>
      </c>
      <c r="B5" s="11">
        <v>0.3</v>
      </c>
      <c r="C5" s="2" t="s">
        <v>4</v>
      </c>
    </row>
    <row r="6" spans="1:4" ht="18" x14ac:dyDescent="0.2">
      <c r="A6" s="6" t="s">
        <v>34</v>
      </c>
      <c r="B6" s="12">
        <v>300</v>
      </c>
      <c r="C6" s="6" t="s">
        <v>35</v>
      </c>
    </row>
    <row r="7" spans="1:4" ht="18" x14ac:dyDescent="0.2">
      <c r="A7" s="2" t="s">
        <v>36</v>
      </c>
      <c r="B7" s="11">
        <v>0.5</v>
      </c>
      <c r="C7" s="2" t="s">
        <v>4</v>
      </c>
    </row>
    <row r="8" spans="1:4" ht="18" x14ac:dyDescent="0.2">
      <c r="A8" s="6" t="s">
        <v>37</v>
      </c>
      <c r="B8" s="12">
        <v>450</v>
      </c>
      <c r="C8" s="6" t="s">
        <v>35</v>
      </c>
    </row>
    <row r="9" spans="1:4" ht="18" x14ac:dyDescent="0.2">
      <c r="A9" s="2" t="s">
        <v>38</v>
      </c>
      <c r="B9" s="11">
        <v>0.8</v>
      </c>
      <c r="C9" s="2" t="s">
        <v>4</v>
      </c>
    </row>
    <row r="10" spans="1:4" ht="18" x14ac:dyDescent="0.2">
      <c r="A10" s="6" t="s">
        <v>39</v>
      </c>
      <c r="B10" s="12">
        <v>600</v>
      </c>
      <c r="C10" s="6" t="s">
        <v>35</v>
      </c>
    </row>
    <row r="11" spans="1:4" ht="18" x14ac:dyDescent="0.2">
      <c r="A11" s="2" t="s">
        <v>40</v>
      </c>
      <c r="B11" s="13">
        <v>0.2</v>
      </c>
      <c r="C11" s="2" t="s">
        <v>41</v>
      </c>
    </row>
    <row r="12" spans="1:4" ht="18" x14ac:dyDescent="0.2">
      <c r="A12" s="6" t="s">
        <v>42</v>
      </c>
      <c r="B12" s="12">
        <v>5</v>
      </c>
      <c r="C12" s="6" t="s">
        <v>43</v>
      </c>
    </row>
    <row r="14" spans="1:4" ht="19" x14ac:dyDescent="0.2">
      <c r="A14" s="10" t="s">
        <v>44</v>
      </c>
    </row>
    <row r="15" spans="1:4" ht="19" x14ac:dyDescent="0.2">
      <c r="A15" s="1" t="s">
        <v>30</v>
      </c>
      <c r="B15" s="1" t="s">
        <v>31</v>
      </c>
      <c r="C15" s="1" t="s">
        <v>32</v>
      </c>
    </row>
    <row r="16" spans="1:4" ht="18" x14ac:dyDescent="0.2">
      <c r="A16" s="2" t="s">
        <v>45</v>
      </c>
      <c r="B16" s="11">
        <v>7.0000000000000007E-2</v>
      </c>
      <c r="C16" s="2" t="s">
        <v>4</v>
      </c>
    </row>
    <row r="17" spans="1:3" ht="18" x14ac:dyDescent="0.2">
      <c r="A17" s="6" t="s">
        <v>46</v>
      </c>
      <c r="B17" s="14">
        <v>0.08</v>
      </c>
      <c r="C17" s="6" t="s">
        <v>4</v>
      </c>
    </row>
    <row r="18" spans="1:3" ht="18" x14ac:dyDescent="0.2">
      <c r="A18" s="2" t="s">
        <v>47</v>
      </c>
      <c r="B18" s="11">
        <v>0.05</v>
      </c>
      <c r="C18" s="2" t="s">
        <v>4</v>
      </c>
    </row>
    <row r="19" spans="1:3" ht="18" x14ac:dyDescent="0.2">
      <c r="A19" s="6" t="s">
        <v>48</v>
      </c>
      <c r="B19" s="12">
        <v>256</v>
      </c>
      <c r="C19" s="6" t="s">
        <v>35</v>
      </c>
    </row>
    <row r="20" spans="1:3" ht="18" x14ac:dyDescent="0.2">
      <c r="A20" s="2" t="s">
        <v>49</v>
      </c>
      <c r="B20" s="15">
        <v>200</v>
      </c>
      <c r="C20" s="2" t="s">
        <v>35</v>
      </c>
    </row>
    <row r="21" spans="1:3" ht="18" x14ac:dyDescent="0.2">
      <c r="A21" s="6" t="s">
        <v>50</v>
      </c>
      <c r="B21" s="12">
        <v>256</v>
      </c>
      <c r="C21" s="6" t="s">
        <v>35</v>
      </c>
    </row>
    <row r="22" spans="1:3" ht="18" x14ac:dyDescent="0.2">
      <c r="A22" s="2" t="s">
        <v>51</v>
      </c>
      <c r="B22" s="11">
        <v>0.05</v>
      </c>
      <c r="C22" s="2" t="s">
        <v>4</v>
      </c>
    </row>
    <row r="23" spans="1:3" ht="18" x14ac:dyDescent="0.2">
      <c r="A23" s="6" t="s">
        <v>52</v>
      </c>
      <c r="B23" s="12">
        <v>128</v>
      </c>
      <c r="C23" s="6" t="s">
        <v>35</v>
      </c>
    </row>
    <row r="24" spans="1:3" ht="18" x14ac:dyDescent="0.2">
      <c r="A24" s="2" t="s">
        <v>53</v>
      </c>
      <c r="B24" s="13">
        <v>0.1</v>
      </c>
      <c r="C24" s="2" t="s">
        <v>41</v>
      </c>
    </row>
    <row r="26" spans="1:3" ht="19" x14ac:dyDescent="0.2">
      <c r="A26" s="10" t="s">
        <v>54</v>
      </c>
    </row>
    <row r="27" spans="1:3" ht="19" x14ac:dyDescent="0.2">
      <c r="A27" s="1" t="s">
        <v>30</v>
      </c>
      <c r="B27" s="1" t="s">
        <v>31</v>
      </c>
      <c r="C27" s="1" t="s">
        <v>32</v>
      </c>
    </row>
    <row r="28" spans="1:3" ht="18" x14ac:dyDescent="0.2">
      <c r="A28" s="2" t="s">
        <v>55</v>
      </c>
      <c r="B28" s="15">
        <v>3</v>
      </c>
      <c r="C28" s="2" t="s">
        <v>56</v>
      </c>
    </row>
    <row r="29" spans="1:3" ht="18" x14ac:dyDescent="0.2">
      <c r="A29" s="6" t="s">
        <v>57</v>
      </c>
      <c r="B29" s="16" t="s">
        <v>12</v>
      </c>
      <c r="C29" s="6"/>
    </row>
    <row r="30" spans="1:3" ht="18" x14ac:dyDescent="0.2">
      <c r="A30" s="2" t="s">
        <v>58</v>
      </c>
      <c r="B30" s="17">
        <v>4.1599999999999998E-2</v>
      </c>
      <c r="C30" s="2" t="s">
        <v>59</v>
      </c>
    </row>
    <row r="31" spans="1:3" ht="18" x14ac:dyDescent="0.2">
      <c r="A31" s="6" t="s">
        <v>60</v>
      </c>
      <c r="B31" s="12">
        <v>1</v>
      </c>
      <c r="C31" s="6" t="s">
        <v>56</v>
      </c>
    </row>
    <row r="32" spans="1:3" ht="18" x14ac:dyDescent="0.2">
      <c r="A32" s="2" t="s">
        <v>61</v>
      </c>
      <c r="B32" s="18" t="s">
        <v>12</v>
      </c>
      <c r="C32" s="2"/>
    </row>
    <row r="33" spans="1:3" ht="18" x14ac:dyDescent="0.2">
      <c r="A33" s="6" t="s">
        <v>62</v>
      </c>
      <c r="B33" s="19">
        <v>4.1599999999999998E-2</v>
      </c>
      <c r="C33" s="6" t="s">
        <v>59</v>
      </c>
    </row>
    <row r="35" spans="1:3" ht="19" x14ac:dyDescent="0.2">
      <c r="A35" s="10" t="s">
        <v>63</v>
      </c>
    </row>
    <row r="36" spans="1:3" ht="19" x14ac:dyDescent="0.2">
      <c r="A36" s="1" t="s">
        <v>30</v>
      </c>
      <c r="B36" s="1" t="s">
        <v>31</v>
      </c>
      <c r="C36" s="1" t="s">
        <v>32</v>
      </c>
    </row>
    <row r="37" spans="1:3" ht="18" x14ac:dyDescent="0.2">
      <c r="A37" s="2" t="s">
        <v>64</v>
      </c>
      <c r="B37" s="17">
        <v>0.08</v>
      </c>
      <c r="C37" s="2" t="s">
        <v>65</v>
      </c>
    </row>
    <row r="38" spans="1:3" ht="18" x14ac:dyDescent="0.2">
      <c r="A38" s="6" t="s">
        <v>66</v>
      </c>
      <c r="B38" s="20">
        <v>22.27</v>
      </c>
      <c r="C38" s="6" t="s">
        <v>67</v>
      </c>
    </row>
    <row r="39" spans="1:3" ht="18" x14ac:dyDescent="0.2">
      <c r="A39" s="2" t="s">
        <v>68</v>
      </c>
      <c r="B39" s="21">
        <v>45</v>
      </c>
      <c r="C39" s="2" t="s">
        <v>67</v>
      </c>
    </row>
    <row r="40" spans="1:3" ht="18" x14ac:dyDescent="0.2">
      <c r="A40" s="6" t="s">
        <v>69</v>
      </c>
      <c r="B40" s="20">
        <v>0.5</v>
      </c>
      <c r="C40" s="6" t="s">
        <v>67</v>
      </c>
    </row>
    <row r="41" spans="1:3" ht="18" x14ac:dyDescent="0.2">
      <c r="A41" s="2" t="s">
        <v>70</v>
      </c>
      <c r="B41" s="17">
        <v>0.09</v>
      </c>
      <c r="C41" s="2" t="s">
        <v>71</v>
      </c>
    </row>
    <row r="42" spans="1:3" ht="18" x14ac:dyDescent="0.2">
      <c r="A42" s="6" t="s">
        <v>72</v>
      </c>
      <c r="B42" s="12">
        <v>2</v>
      </c>
      <c r="C42" s="6" t="s">
        <v>73</v>
      </c>
    </row>
    <row r="43" spans="1:3" ht="18" x14ac:dyDescent="0.2">
      <c r="A43" s="2" t="s">
        <v>74</v>
      </c>
      <c r="B43" s="21">
        <v>5</v>
      </c>
      <c r="C43" s="2" t="s">
        <v>67</v>
      </c>
    </row>
    <row r="44" spans="1:3" ht="18" x14ac:dyDescent="0.2">
      <c r="A44" s="6" t="s">
        <v>75</v>
      </c>
      <c r="B44" s="20">
        <v>10</v>
      </c>
      <c r="C44" s="6" t="s">
        <v>67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3333"/>
  </sheetPr>
  <dimension ref="A1:D46"/>
  <sheetViews>
    <sheetView tabSelected="1" topLeftCell="A16" zoomScaleNormal="100" workbookViewId="0">
      <selection activeCell="B41" sqref="B41"/>
    </sheetView>
  </sheetViews>
  <sheetFormatPr baseColWidth="10" defaultColWidth="8.6640625" defaultRowHeight="15" x14ac:dyDescent="0.2"/>
  <cols>
    <col min="1" max="1" width="38" customWidth="1"/>
    <col min="2" max="2" width="20" customWidth="1"/>
  </cols>
  <sheetData>
    <row r="1" spans="1:4" ht="27" x14ac:dyDescent="0.2">
      <c r="A1" s="51" t="s">
        <v>76</v>
      </c>
      <c r="B1" s="51"/>
      <c r="C1" s="51"/>
      <c r="D1" s="51"/>
    </row>
    <row r="3" spans="1:4" ht="19" x14ac:dyDescent="0.2">
      <c r="A3" s="10" t="s">
        <v>77</v>
      </c>
    </row>
    <row r="4" spans="1:4" ht="18" x14ac:dyDescent="0.2">
      <c r="A4" s="22" t="s">
        <v>78</v>
      </c>
      <c r="B4" s="23" t="s">
        <v>19</v>
      </c>
    </row>
    <row r="5" spans="1:4" ht="18" x14ac:dyDescent="0.2">
      <c r="A5" s="22" t="s">
        <v>79</v>
      </c>
      <c r="B5" s="24">
        <v>2</v>
      </c>
    </row>
    <row r="6" spans="1:4" ht="18" x14ac:dyDescent="0.2">
      <c r="A6" s="22" t="s">
        <v>80</v>
      </c>
      <c r="B6" s="24">
        <v>4</v>
      </c>
    </row>
    <row r="7" spans="1:4" ht="18" x14ac:dyDescent="0.2">
      <c r="A7" s="22" t="s">
        <v>6</v>
      </c>
      <c r="B7" s="25">
        <v>3.3599999999999998E-2</v>
      </c>
    </row>
    <row r="8" spans="1:4" ht="18" x14ac:dyDescent="0.2">
      <c r="A8" s="22" t="s">
        <v>81</v>
      </c>
      <c r="B8" s="24">
        <v>30</v>
      </c>
    </row>
    <row r="9" spans="1:4" ht="18" x14ac:dyDescent="0.2">
      <c r="A9" s="22" t="s">
        <v>82</v>
      </c>
      <c r="B9" s="24">
        <v>730</v>
      </c>
    </row>
    <row r="11" spans="1:4" ht="19" x14ac:dyDescent="0.2">
      <c r="A11" s="10" t="s">
        <v>83</v>
      </c>
    </row>
    <row r="13" spans="1:4" ht="18" x14ac:dyDescent="0.2">
      <c r="A13" s="22" t="s">
        <v>84</v>
      </c>
      <c r="B13" s="26">
        <f>Parametres!B16+Parametres!B17+Parametres!B18+Parametres!B22</f>
        <v>0.25</v>
      </c>
    </row>
    <row r="14" spans="1:4" ht="18" x14ac:dyDescent="0.2">
      <c r="A14" s="22" t="s">
        <v>85</v>
      </c>
      <c r="B14" s="27">
        <f>Parametres!B19+Parametres!B20+Parametres!B21+Parametres!B23</f>
        <v>840</v>
      </c>
    </row>
    <row r="16" spans="1:4" ht="18" x14ac:dyDescent="0.2">
      <c r="A16" s="22" t="s">
        <v>86</v>
      </c>
      <c r="B16" s="26">
        <f>B5-B13</f>
        <v>1.75</v>
      </c>
    </row>
    <row r="17" spans="1:2" ht="18" x14ac:dyDescent="0.2">
      <c r="A17" s="22" t="s">
        <v>87</v>
      </c>
      <c r="B17" s="27">
        <f>(B6*1024)-B14</f>
        <v>3256</v>
      </c>
    </row>
    <row r="19" spans="1:2" ht="18" x14ac:dyDescent="0.2">
      <c r="A19" s="22" t="s">
        <v>88</v>
      </c>
      <c r="B19" s="26">
        <f>(Parametres!B7*Parametres!B11)+(Parametres!B5*(1-Parametres!B11))</f>
        <v>0.33999999999999997</v>
      </c>
    </row>
    <row r="20" spans="1:2" ht="18" x14ac:dyDescent="0.2">
      <c r="A20" s="22" t="s">
        <v>89</v>
      </c>
      <c r="B20" s="27">
        <f>(Parametres!B8*Parametres!B11)+(Parametres!B6*(1-Parametres!B11))</f>
        <v>330</v>
      </c>
    </row>
    <row r="22" spans="1:2" ht="18" x14ac:dyDescent="0.2">
      <c r="A22" s="22" t="s">
        <v>90</v>
      </c>
      <c r="B22" s="27">
        <f>FLOOR(B16/B19,1)</f>
        <v>5</v>
      </c>
    </row>
    <row r="23" spans="1:2" ht="18" x14ac:dyDescent="0.2">
      <c r="A23" s="22" t="s">
        <v>91</v>
      </c>
      <c r="B23" s="27">
        <f>FLOOR(B17/B20,1)</f>
        <v>9</v>
      </c>
    </row>
    <row r="24" spans="1:2" ht="18" x14ac:dyDescent="0.2">
      <c r="A24" s="28" t="s">
        <v>92</v>
      </c>
      <c r="B24" s="29">
        <f>MIN(B22,B23)</f>
        <v>5</v>
      </c>
    </row>
    <row r="25" spans="1:2" ht="19" x14ac:dyDescent="0.2">
      <c r="A25" s="10" t="s">
        <v>93</v>
      </c>
    </row>
    <row r="26" spans="1:2" ht="18" x14ac:dyDescent="0.2">
      <c r="A26" s="22" t="s">
        <v>94</v>
      </c>
      <c r="B26" s="27">
        <f>CEILING(B8/B24,1)</f>
        <v>6</v>
      </c>
    </row>
    <row r="27" spans="1:2" ht="18" x14ac:dyDescent="0.2">
      <c r="A27" s="28" t="s">
        <v>95</v>
      </c>
      <c r="B27" s="29">
        <f>CEILING(B26*(1+Parametres!B24),1)</f>
        <v>7</v>
      </c>
    </row>
    <row r="29" spans="1:2" ht="19" x14ac:dyDescent="0.2">
      <c r="A29" s="10" t="s">
        <v>96</v>
      </c>
    </row>
    <row r="30" spans="1:2" ht="18" x14ac:dyDescent="0.2">
      <c r="A30" s="22" t="s">
        <v>97</v>
      </c>
      <c r="B30" s="30">
        <f>B27*B7*B9</f>
        <v>171.696</v>
      </c>
    </row>
    <row r="31" spans="1:2" ht="18" x14ac:dyDescent="0.2">
      <c r="A31" s="22" t="s">
        <v>98</v>
      </c>
      <c r="B31" s="30">
        <f>Parametres!B28*Parametres!B30*B9</f>
        <v>91.103999999999999</v>
      </c>
    </row>
    <row r="32" spans="1:2" ht="18" x14ac:dyDescent="0.2">
      <c r="A32" s="22" t="s">
        <v>99</v>
      </c>
      <c r="B32" s="30">
        <f>Parametres!B31*Parametres!B33*B9</f>
        <v>30.367999999999999</v>
      </c>
    </row>
    <row r="33" spans="1:2" ht="18" x14ac:dyDescent="0.2">
      <c r="A33" s="22" t="s">
        <v>100</v>
      </c>
      <c r="B33" s="30">
        <f>(B8*Parametres!B37*Parametres!B12)+(B27*50*Parametres!B37)+(Parametres!B28*30*Parametres!B37)</f>
        <v>47.2</v>
      </c>
    </row>
    <row r="34" spans="1:2" ht="18" x14ac:dyDescent="0.2">
      <c r="A34" s="22" t="s">
        <v>101</v>
      </c>
      <c r="B34" s="30">
        <f>Parametres!B38</f>
        <v>22.27</v>
      </c>
    </row>
    <row r="35" spans="1:2" ht="18" x14ac:dyDescent="0.2">
      <c r="A35" s="22" t="s">
        <v>102</v>
      </c>
      <c r="B35" s="30">
        <f>Parametres!B39</f>
        <v>45</v>
      </c>
    </row>
    <row r="36" spans="1:2" ht="18" x14ac:dyDescent="0.2">
      <c r="A36" s="22" t="s">
        <v>103</v>
      </c>
      <c r="B36" s="30">
        <f>Parametres!B40</f>
        <v>0.5</v>
      </c>
    </row>
    <row r="37" spans="1:2" ht="18" x14ac:dyDescent="0.2">
      <c r="A37" s="22" t="s">
        <v>104</v>
      </c>
      <c r="B37" s="30">
        <f>B8*Parametres!B42*Parametres!B41</f>
        <v>5.3999999999999995</v>
      </c>
    </row>
    <row r="38" spans="1:2" ht="18" x14ac:dyDescent="0.2">
      <c r="A38" s="22" t="s">
        <v>105</v>
      </c>
      <c r="B38" s="30">
        <f>Parametres!B43</f>
        <v>5</v>
      </c>
    </row>
    <row r="39" spans="1:2" ht="18" x14ac:dyDescent="0.2">
      <c r="A39" s="22" t="s">
        <v>106</v>
      </c>
      <c r="B39" s="30">
        <f>Parametres!B44</f>
        <v>10</v>
      </c>
    </row>
    <row r="41" spans="1:2" ht="18" x14ac:dyDescent="0.2">
      <c r="A41" s="28" t="s">
        <v>107</v>
      </c>
      <c r="B41" s="31">
        <f>SUM(B30:B39)</f>
        <v>428.53799999999995</v>
      </c>
    </row>
    <row r="42" spans="1:2" ht="18" x14ac:dyDescent="0.2">
      <c r="A42" s="28" t="s">
        <v>108</v>
      </c>
      <c r="B42" s="31">
        <f>B41/B8</f>
        <v>14.284599999999999</v>
      </c>
    </row>
    <row r="43" spans="1:2" ht="18" x14ac:dyDescent="0.2">
      <c r="A43" s="28" t="s">
        <v>109</v>
      </c>
      <c r="B43" s="32">
        <f>B42/30</f>
        <v>0.47615333333333332</v>
      </c>
    </row>
    <row r="44" spans="1:2" ht="19" x14ac:dyDescent="0.2">
      <c r="A44" s="10" t="s">
        <v>110</v>
      </c>
    </row>
    <row r="45" spans="1:2" ht="18" x14ac:dyDescent="0.2">
      <c r="A45" s="22" t="s">
        <v>111</v>
      </c>
      <c r="B45" s="33">
        <f>(B8*B19)/(B27*B5)</f>
        <v>0.72857142857142854</v>
      </c>
    </row>
    <row r="46" spans="1:2" ht="18" x14ac:dyDescent="0.2">
      <c r="A46" s="22" t="s">
        <v>112</v>
      </c>
      <c r="B46" s="33">
        <f>(B8*B20)/(B27*B6*1024)</f>
        <v>0.3452845982142857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33333"/>
  </sheetPr>
  <dimension ref="A1:T37"/>
  <sheetViews>
    <sheetView zoomScaleNormal="100" workbookViewId="0">
      <selection sqref="A1:T1"/>
    </sheetView>
  </sheetViews>
  <sheetFormatPr baseColWidth="10" defaultColWidth="8.6640625" defaultRowHeight="15" x14ac:dyDescent="0.2"/>
  <cols>
    <col min="1" max="1" width="32" customWidth="1"/>
    <col min="2" max="7" width="18" customWidth="1"/>
  </cols>
  <sheetData>
    <row r="1" spans="1:20" ht="27" x14ac:dyDescent="0.2">
      <c r="A1" s="51" t="s">
        <v>113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3" spans="1:20" ht="18" x14ac:dyDescent="0.3">
      <c r="A3" s="34" t="s">
        <v>114</v>
      </c>
      <c r="B3" s="35" t="s">
        <v>115</v>
      </c>
      <c r="C3" s="35" t="s">
        <v>116</v>
      </c>
      <c r="D3" s="35" t="s">
        <v>117</v>
      </c>
      <c r="E3" s="35" t="s">
        <v>118</v>
      </c>
      <c r="F3" s="35" t="s">
        <v>119</v>
      </c>
      <c r="G3" s="35" t="s">
        <v>120</v>
      </c>
    </row>
    <row r="4" spans="1:20" ht="18" x14ac:dyDescent="0.2">
      <c r="A4" s="22" t="s">
        <v>78</v>
      </c>
      <c r="B4" s="23" t="s">
        <v>18</v>
      </c>
      <c r="C4" s="23" t="s">
        <v>19</v>
      </c>
      <c r="D4" s="23" t="s">
        <v>19</v>
      </c>
      <c r="E4" s="23" t="s">
        <v>20</v>
      </c>
      <c r="F4" s="23" t="s">
        <v>26</v>
      </c>
      <c r="G4" s="23" t="s">
        <v>27</v>
      </c>
    </row>
    <row r="5" spans="1:20" ht="18" x14ac:dyDescent="0.2">
      <c r="A5" s="22" t="s">
        <v>79</v>
      </c>
      <c r="B5" s="24">
        <v>2</v>
      </c>
      <c r="C5" s="24">
        <v>2</v>
      </c>
      <c r="D5" s="24">
        <v>2</v>
      </c>
      <c r="E5" s="24">
        <v>2</v>
      </c>
      <c r="F5" s="24">
        <v>2</v>
      </c>
      <c r="G5" s="24">
        <v>4</v>
      </c>
    </row>
    <row r="6" spans="1:20" ht="18" x14ac:dyDescent="0.2">
      <c r="A6" s="22" t="s">
        <v>80</v>
      </c>
      <c r="B6" s="24">
        <v>2</v>
      </c>
      <c r="C6" s="24">
        <v>4</v>
      </c>
      <c r="D6" s="24">
        <v>4</v>
      </c>
      <c r="E6" s="24">
        <v>8</v>
      </c>
      <c r="F6" s="24">
        <v>8</v>
      </c>
      <c r="G6" s="24">
        <v>16</v>
      </c>
    </row>
    <row r="7" spans="1:20" ht="18" x14ac:dyDescent="0.2">
      <c r="A7" s="22" t="s">
        <v>6</v>
      </c>
      <c r="B7" s="25">
        <v>1.6799999999999999E-2</v>
      </c>
      <c r="C7" s="25">
        <v>3.3599999999999998E-2</v>
      </c>
      <c r="D7" s="25">
        <v>3.3599999999999998E-2</v>
      </c>
      <c r="E7" s="25">
        <v>6.7199999999999996E-2</v>
      </c>
      <c r="F7" s="25">
        <v>8.1600000000000006E-2</v>
      </c>
      <c r="G7" s="25">
        <v>0.16320000000000001</v>
      </c>
    </row>
    <row r="8" spans="1:20" ht="18" x14ac:dyDescent="0.2">
      <c r="A8" s="22" t="s">
        <v>81</v>
      </c>
      <c r="B8" s="24">
        <v>10</v>
      </c>
      <c r="C8" s="24">
        <v>25</v>
      </c>
      <c r="D8" s="24">
        <v>50</v>
      </c>
      <c r="E8" s="24">
        <v>100</v>
      </c>
      <c r="F8" s="24">
        <v>200</v>
      </c>
      <c r="G8" s="24">
        <v>500</v>
      </c>
    </row>
    <row r="10" spans="1:20" ht="18" x14ac:dyDescent="0.2">
      <c r="A10" s="22" t="s">
        <v>84</v>
      </c>
      <c r="B10" s="26">
        <f>Parametres!B16+Parametres!B17+Parametres!B18+Parametres!B22</f>
        <v>0.25</v>
      </c>
      <c r="C10" s="26">
        <f>Parametres!B16+Parametres!B17+Parametres!B18+Parametres!B22</f>
        <v>0.25</v>
      </c>
      <c r="D10" s="26">
        <f>Parametres!B16+Parametres!B17+Parametres!B18+Parametres!B22</f>
        <v>0.25</v>
      </c>
      <c r="E10" s="26">
        <f>Parametres!B16+Parametres!B17+Parametres!B18+Parametres!B22</f>
        <v>0.25</v>
      </c>
      <c r="F10" s="26">
        <f>Parametres!B16+Parametres!B17+Parametres!B18+Parametres!B22</f>
        <v>0.25</v>
      </c>
      <c r="G10" s="26">
        <f>Parametres!B16+Parametres!B17+Parametres!B18+Parametres!B22</f>
        <v>0.25</v>
      </c>
    </row>
    <row r="11" spans="1:20" ht="18" x14ac:dyDescent="0.2">
      <c r="A11" s="22" t="s">
        <v>85</v>
      </c>
      <c r="B11" s="27">
        <f>Parametres!B19+Parametres!B20+Parametres!B21+Parametres!B23</f>
        <v>840</v>
      </c>
      <c r="C11" s="27">
        <f>Parametres!B19+Parametres!B20+Parametres!B21+Parametres!B23</f>
        <v>840</v>
      </c>
      <c r="D11" s="27">
        <f>Parametres!B19+Parametres!B20+Parametres!B21+Parametres!B23</f>
        <v>840</v>
      </c>
      <c r="E11" s="27">
        <f>Parametres!B19+Parametres!B20+Parametres!B21+Parametres!B23</f>
        <v>840</v>
      </c>
      <c r="F11" s="27">
        <f>Parametres!B19+Parametres!B20+Parametres!B21+Parametres!B23</f>
        <v>840</v>
      </c>
      <c r="G11" s="27">
        <f>Parametres!B19+Parametres!B20+Parametres!B21+Parametres!B23</f>
        <v>840</v>
      </c>
    </row>
    <row r="12" spans="1:20" ht="18" x14ac:dyDescent="0.2">
      <c r="A12" s="22" t="s">
        <v>121</v>
      </c>
      <c r="B12" s="26">
        <f t="shared" ref="B12:G12" si="0">B5-B10</f>
        <v>1.75</v>
      </c>
      <c r="C12" s="26">
        <f t="shared" si="0"/>
        <v>1.75</v>
      </c>
      <c r="D12" s="26">
        <f t="shared" si="0"/>
        <v>1.75</v>
      </c>
      <c r="E12" s="26">
        <f t="shared" si="0"/>
        <v>1.75</v>
      </c>
      <c r="F12" s="26">
        <f t="shared" si="0"/>
        <v>1.75</v>
      </c>
      <c r="G12" s="26">
        <f t="shared" si="0"/>
        <v>3.75</v>
      </c>
    </row>
    <row r="13" spans="1:20" ht="18" x14ac:dyDescent="0.2">
      <c r="A13" s="22" t="s">
        <v>87</v>
      </c>
      <c r="B13" s="27">
        <f t="shared" ref="B13:G13" si="1">(B6*1024)-B11</f>
        <v>1208</v>
      </c>
      <c r="C13" s="27">
        <f t="shared" si="1"/>
        <v>3256</v>
      </c>
      <c r="D13" s="27">
        <f t="shared" si="1"/>
        <v>3256</v>
      </c>
      <c r="E13" s="27">
        <f t="shared" si="1"/>
        <v>7352</v>
      </c>
      <c r="F13" s="27">
        <f t="shared" si="1"/>
        <v>7352</v>
      </c>
      <c r="G13" s="27">
        <f t="shared" si="1"/>
        <v>15544</v>
      </c>
    </row>
    <row r="14" spans="1:20" ht="18" x14ac:dyDescent="0.2">
      <c r="A14" s="22" t="s">
        <v>122</v>
      </c>
      <c r="B14" s="26">
        <f>(Parametres!B7*Parametres!B11)+(Parametres!B5*(1-Parametres!B11))</f>
        <v>0.33999999999999997</v>
      </c>
      <c r="C14" s="26">
        <f>(Parametres!B7*Parametres!B11)+(Parametres!B5*(1-Parametres!B11))</f>
        <v>0.33999999999999997</v>
      </c>
      <c r="D14" s="26">
        <f>(Parametres!B7*Parametres!B11)+(Parametres!B5*(1-Parametres!B11))</f>
        <v>0.33999999999999997</v>
      </c>
      <c r="E14" s="26">
        <f>(Parametres!B7*Parametres!B11)+(Parametres!B5*(1-Parametres!B11))</f>
        <v>0.33999999999999997</v>
      </c>
      <c r="F14" s="26">
        <f>(Parametres!B7*Parametres!B11)+(Parametres!B5*(1-Parametres!B11))</f>
        <v>0.33999999999999997</v>
      </c>
      <c r="G14" s="26">
        <f>(Parametres!B7*Parametres!B11)+(Parametres!B5*(1-Parametres!B11))</f>
        <v>0.33999999999999997</v>
      </c>
    </row>
    <row r="15" spans="1:20" ht="18" x14ac:dyDescent="0.2">
      <c r="A15" s="22" t="s">
        <v>89</v>
      </c>
      <c r="B15" s="27">
        <f>(Parametres!B8*Parametres!B11)+(Parametres!B6*(1-Parametres!B11))</f>
        <v>330</v>
      </c>
      <c r="C15" s="27">
        <f>(Parametres!B8*Parametres!B11)+(Parametres!B6*(1-Parametres!B11))</f>
        <v>330</v>
      </c>
      <c r="D15" s="27">
        <f>(Parametres!B8*Parametres!B11)+(Parametres!B6*(1-Parametres!B11))</f>
        <v>330</v>
      </c>
      <c r="E15" s="27">
        <f>(Parametres!B8*Parametres!B11)+(Parametres!B6*(1-Parametres!B11))</f>
        <v>330</v>
      </c>
      <c r="F15" s="27">
        <f>(Parametres!B8*Parametres!B11)+(Parametres!B6*(1-Parametres!B11))</f>
        <v>330</v>
      </c>
      <c r="G15" s="27">
        <f>(Parametres!B8*Parametres!B11)+(Parametres!B6*(1-Parametres!B11))</f>
        <v>330</v>
      </c>
    </row>
    <row r="16" spans="1:20" ht="18" x14ac:dyDescent="0.2">
      <c r="A16" s="22" t="s">
        <v>90</v>
      </c>
      <c r="B16" s="27">
        <f t="shared" ref="B16:G17" si="2">FLOOR(B12/B14,1)</f>
        <v>5</v>
      </c>
      <c r="C16" s="27">
        <f t="shared" si="2"/>
        <v>5</v>
      </c>
      <c r="D16" s="27">
        <f t="shared" si="2"/>
        <v>5</v>
      </c>
      <c r="E16" s="27">
        <f t="shared" si="2"/>
        <v>5</v>
      </c>
      <c r="F16" s="27">
        <f t="shared" si="2"/>
        <v>5</v>
      </c>
      <c r="G16" s="27">
        <f t="shared" si="2"/>
        <v>11</v>
      </c>
    </row>
    <row r="17" spans="1:7" ht="18" x14ac:dyDescent="0.2">
      <c r="A17" s="22" t="s">
        <v>91</v>
      </c>
      <c r="B17" s="27">
        <f t="shared" si="2"/>
        <v>3</v>
      </c>
      <c r="C17" s="27">
        <f t="shared" si="2"/>
        <v>9</v>
      </c>
      <c r="D17" s="27">
        <f t="shared" si="2"/>
        <v>9</v>
      </c>
      <c r="E17" s="27">
        <f t="shared" si="2"/>
        <v>22</v>
      </c>
      <c r="F17" s="27">
        <f t="shared" si="2"/>
        <v>22</v>
      </c>
      <c r="G17" s="27">
        <f t="shared" si="2"/>
        <v>47</v>
      </c>
    </row>
    <row r="18" spans="1:7" ht="18" x14ac:dyDescent="0.2">
      <c r="A18" s="28" t="s">
        <v>92</v>
      </c>
      <c r="B18" s="29">
        <f t="shared" ref="B18:G18" si="3">MIN(B16,B17)</f>
        <v>3</v>
      </c>
      <c r="C18" s="29">
        <f t="shared" si="3"/>
        <v>5</v>
      </c>
      <c r="D18" s="29">
        <f t="shared" si="3"/>
        <v>5</v>
      </c>
      <c r="E18" s="29">
        <f t="shared" si="3"/>
        <v>5</v>
      </c>
      <c r="F18" s="29">
        <f t="shared" si="3"/>
        <v>5</v>
      </c>
      <c r="G18" s="29">
        <f t="shared" si="3"/>
        <v>11</v>
      </c>
    </row>
    <row r="19" spans="1:7" ht="18" x14ac:dyDescent="0.2">
      <c r="A19" s="22" t="s">
        <v>94</v>
      </c>
      <c r="B19" s="27">
        <f t="shared" ref="B19:G19" si="4">CEILING(B8/B18,1)</f>
        <v>4</v>
      </c>
      <c r="C19" s="27">
        <f t="shared" si="4"/>
        <v>5</v>
      </c>
      <c r="D19" s="27">
        <f t="shared" si="4"/>
        <v>10</v>
      </c>
      <c r="E19" s="27">
        <f t="shared" si="4"/>
        <v>20</v>
      </c>
      <c r="F19" s="27">
        <f t="shared" si="4"/>
        <v>40</v>
      </c>
      <c r="G19" s="27">
        <f t="shared" si="4"/>
        <v>46</v>
      </c>
    </row>
    <row r="20" spans="1:7" ht="18" x14ac:dyDescent="0.2">
      <c r="A20" s="28" t="s">
        <v>123</v>
      </c>
      <c r="B20" s="29">
        <f>CEILING(B19*(1+Parametres!B24),1)</f>
        <v>5</v>
      </c>
      <c r="C20" s="29">
        <f>CEILING(C19*(1+Parametres!B24),1)</f>
        <v>6</v>
      </c>
      <c r="D20" s="29">
        <f>CEILING(D19*(1+Parametres!B24),1)</f>
        <v>11</v>
      </c>
      <c r="E20" s="29">
        <f>CEILING(E19*(1+Parametres!B24),1)</f>
        <v>22</v>
      </c>
      <c r="F20" s="29">
        <f>CEILING(F19*(1+Parametres!B24),1)</f>
        <v>44</v>
      </c>
      <c r="G20" s="29">
        <f>CEILING(G19*(1+Parametres!B24),1)</f>
        <v>51</v>
      </c>
    </row>
    <row r="22" spans="1:7" ht="18" x14ac:dyDescent="0.2">
      <c r="A22" s="22" t="s">
        <v>124</v>
      </c>
      <c r="B22" s="30">
        <f t="shared" ref="B22:G22" si="5">B20*B7*730</f>
        <v>61.319999999999993</v>
      </c>
      <c r="C22" s="30">
        <f t="shared" si="5"/>
        <v>147.16800000000001</v>
      </c>
      <c r="D22" s="30">
        <f t="shared" si="5"/>
        <v>269.80799999999999</v>
      </c>
      <c r="E22" s="30">
        <f t="shared" si="5"/>
        <v>1079.232</v>
      </c>
      <c r="F22" s="30">
        <f t="shared" si="5"/>
        <v>2620.9920000000002</v>
      </c>
      <c r="G22" s="30">
        <f t="shared" si="5"/>
        <v>6075.9359999999997</v>
      </c>
    </row>
    <row r="23" spans="1:7" ht="18" x14ac:dyDescent="0.2">
      <c r="A23" s="22" t="s">
        <v>125</v>
      </c>
      <c r="B23" s="30">
        <f>Parametres!B28*Parametres!B30*730</f>
        <v>91.103999999999999</v>
      </c>
      <c r="C23" s="30">
        <f>Parametres!B28*Parametres!B30*730</f>
        <v>91.103999999999999</v>
      </c>
      <c r="D23" s="30">
        <f>Parametres!B28*Parametres!B30*730</f>
        <v>91.103999999999999</v>
      </c>
      <c r="E23" s="30">
        <f>Parametres!B28*Parametres!B30*730</f>
        <v>91.103999999999999</v>
      </c>
      <c r="F23" s="30">
        <f>Parametres!B28*Parametres!B30*730</f>
        <v>91.103999999999999</v>
      </c>
      <c r="G23" s="30">
        <f>Parametres!B28*Parametres!B30*730</f>
        <v>91.103999999999999</v>
      </c>
    </row>
    <row r="24" spans="1:7" ht="18" x14ac:dyDescent="0.2">
      <c r="A24" s="22" t="s">
        <v>126</v>
      </c>
      <c r="B24" s="30">
        <f>Parametres!B31*Parametres!B33*730</f>
        <v>30.367999999999999</v>
      </c>
      <c r="C24" s="30">
        <f>Parametres!B31*Parametres!B33*730</f>
        <v>30.367999999999999</v>
      </c>
      <c r="D24" s="30">
        <f>Parametres!B31*Parametres!B33*730</f>
        <v>30.367999999999999</v>
      </c>
      <c r="E24" s="30">
        <f>Parametres!B31*Parametres!B33*730</f>
        <v>30.367999999999999</v>
      </c>
      <c r="F24" s="30">
        <f>Parametres!B31*Parametres!B33*730</f>
        <v>30.367999999999999</v>
      </c>
      <c r="G24" s="30">
        <f>Parametres!B31*Parametres!B33*730</f>
        <v>30.367999999999999</v>
      </c>
    </row>
    <row r="25" spans="1:7" ht="18" x14ac:dyDescent="0.2">
      <c r="A25" s="22" t="s">
        <v>127</v>
      </c>
      <c r="B25" s="30">
        <f>(B8*Parametres!B37*Parametres!B12)+(B20*50*Parametres!B37)+(Parametres!B28*30*Parametres!B37)</f>
        <v>31.2</v>
      </c>
      <c r="C25" s="30">
        <f>(C8*Parametres!B37*Parametres!B12)+(C20*50*Parametres!B37)+(Parametres!B28*30*Parametres!B37)</f>
        <v>41.2</v>
      </c>
      <c r="D25" s="30">
        <f>(D8*Parametres!B37*Parametres!B12)+(D20*50*Parametres!B37)+(Parametres!B28*30*Parametres!B37)</f>
        <v>71.2</v>
      </c>
      <c r="E25" s="30">
        <f>(E8*Parametres!B37*Parametres!B12)+(E20*50*Parametres!B37)+(Parametres!B28*30*Parametres!B37)</f>
        <v>135.19999999999999</v>
      </c>
      <c r="F25" s="30">
        <f>(F8*Parametres!B37*Parametres!B12)+(F20*50*Parametres!B37)+(Parametres!B28*30*Parametres!B37)</f>
        <v>263.2</v>
      </c>
      <c r="G25" s="30">
        <f>(G8*Parametres!B37*Parametres!B12)+(G20*50*Parametres!B37)+(Parametres!B28*30*Parametres!B37)</f>
        <v>411.2</v>
      </c>
    </row>
    <row r="26" spans="1:7" ht="18" x14ac:dyDescent="0.2">
      <c r="A26" s="22" t="s">
        <v>128</v>
      </c>
      <c r="B26" s="30">
        <f>Parametres!B38</f>
        <v>22.27</v>
      </c>
      <c r="C26" s="30">
        <f>Parametres!B38</f>
        <v>22.27</v>
      </c>
      <c r="D26" s="30">
        <f>Parametres!B38</f>
        <v>22.27</v>
      </c>
      <c r="E26" s="30">
        <f>Parametres!B38</f>
        <v>22.27</v>
      </c>
      <c r="F26" s="30">
        <f>Parametres!B38</f>
        <v>22.27</v>
      </c>
      <c r="G26" s="30">
        <f>Parametres!B38</f>
        <v>22.27</v>
      </c>
    </row>
    <row r="27" spans="1:7" ht="18" x14ac:dyDescent="0.2">
      <c r="A27" s="22" t="s">
        <v>129</v>
      </c>
      <c r="B27" s="30">
        <f>Parametres!B39</f>
        <v>45</v>
      </c>
      <c r="C27" s="30">
        <f>Parametres!B39</f>
        <v>45</v>
      </c>
      <c r="D27" s="30">
        <f>Parametres!B39</f>
        <v>45</v>
      </c>
      <c r="E27" s="30">
        <f>Parametres!B39</f>
        <v>45</v>
      </c>
      <c r="F27" s="30">
        <f>Parametres!B39</f>
        <v>45</v>
      </c>
      <c r="G27" s="30">
        <f>Parametres!B39</f>
        <v>45</v>
      </c>
    </row>
    <row r="28" spans="1:7" ht="18" x14ac:dyDescent="0.2">
      <c r="A28" s="22" t="s">
        <v>130</v>
      </c>
      <c r="B28" s="30">
        <f>Parametres!B40</f>
        <v>0.5</v>
      </c>
      <c r="C28" s="30">
        <f>Parametres!B40</f>
        <v>0.5</v>
      </c>
      <c r="D28" s="30">
        <f>Parametres!B40</f>
        <v>0.5</v>
      </c>
      <c r="E28" s="30">
        <f>Parametres!B40</f>
        <v>0.5</v>
      </c>
      <c r="F28" s="30">
        <f>Parametres!B40</f>
        <v>0.5</v>
      </c>
      <c r="G28" s="30">
        <f>Parametres!B40</f>
        <v>0.5</v>
      </c>
    </row>
    <row r="29" spans="1:7" ht="18" x14ac:dyDescent="0.2">
      <c r="A29" s="22" t="s">
        <v>131</v>
      </c>
      <c r="B29" s="30">
        <f>B8*Parametres!B42*Parametres!B41</f>
        <v>1.7999999999999998</v>
      </c>
      <c r="C29" s="30">
        <f>C8*Parametres!B42*Parametres!B41</f>
        <v>4.5</v>
      </c>
      <c r="D29" s="30">
        <f>D8*Parametres!B42*Parametres!B41</f>
        <v>9</v>
      </c>
      <c r="E29" s="30">
        <f>E8*Parametres!B42*Parametres!B41</f>
        <v>18</v>
      </c>
      <c r="F29" s="30">
        <f>F8*Parametres!B42*Parametres!B41</f>
        <v>36</v>
      </c>
      <c r="G29" s="30">
        <f>G8*Parametres!B42*Parametres!B41</f>
        <v>90</v>
      </c>
    </row>
    <row r="30" spans="1:7" ht="18" x14ac:dyDescent="0.2">
      <c r="A30" s="22" t="s">
        <v>132</v>
      </c>
      <c r="B30" s="30">
        <f>Parametres!B43</f>
        <v>5</v>
      </c>
      <c r="C30" s="30">
        <f>Parametres!B43</f>
        <v>5</v>
      </c>
      <c r="D30" s="30">
        <f>Parametres!B43</f>
        <v>5</v>
      </c>
      <c r="E30" s="30">
        <f>Parametres!B43</f>
        <v>5</v>
      </c>
      <c r="F30" s="30">
        <f>Parametres!B43</f>
        <v>5</v>
      </c>
      <c r="G30" s="30">
        <f>Parametres!B43</f>
        <v>5</v>
      </c>
    </row>
    <row r="31" spans="1:7" ht="18" x14ac:dyDescent="0.2">
      <c r="A31" s="22" t="s">
        <v>133</v>
      </c>
      <c r="B31" s="30">
        <f>Parametres!B44</f>
        <v>10</v>
      </c>
      <c r="C31" s="30">
        <f>Parametres!B44</f>
        <v>10</v>
      </c>
      <c r="D31" s="30">
        <f>Parametres!B44</f>
        <v>10</v>
      </c>
      <c r="E31" s="30">
        <f>Parametres!B44</f>
        <v>10</v>
      </c>
      <c r="F31" s="30">
        <f>Parametres!B44</f>
        <v>10</v>
      </c>
      <c r="G31" s="30">
        <f>Parametres!B44</f>
        <v>10</v>
      </c>
    </row>
    <row r="33" spans="1:7" ht="18" x14ac:dyDescent="0.2">
      <c r="A33" s="28" t="s">
        <v>134</v>
      </c>
      <c r="B33" s="31">
        <f t="shared" ref="B33:G33" si="6">SUM(B22:B31)</f>
        <v>298.56199999999995</v>
      </c>
      <c r="C33" s="31">
        <f t="shared" si="6"/>
        <v>397.10999999999996</v>
      </c>
      <c r="D33" s="31">
        <f t="shared" si="6"/>
        <v>554.25</v>
      </c>
      <c r="E33" s="31">
        <f t="shared" si="6"/>
        <v>1436.674</v>
      </c>
      <c r="F33" s="31">
        <f t="shared" si="6"/>
        <v>3124.4339999999997</v>
      </c>
      <c r="G33" s="31">
        <f t="shared" si="6"/>
        <v>6781.3780000000006</v>
      </c>
    </row>
    <row r="34" spans="1:7" ht="18" x14ac:dyDescent="0.2">
      <c r="A34" s="28" t="s">
        <v>135</v>
      </c>
      <c r="B34" s="31">
        <f t="shared" ref="B34:G34" si="7">B33/B8</f>
        <v>29.856199999999994</v>
      </c>
      <c r="C34" s="31">
        <f t="shared" si="7"/>
        <v>15.884399999999998</v>
      </c>
      <c r="D34" s="31">
        <f t="shared" si="7"/>
        <v>11.085000000000001</v>
      </c>
      <c r="E34" s="31">
        <f t="shared" si="7"/>
        <v>14.36674</v>
      </c>
      <c r="F34" s="31">
        <f t="shared" si="7"/>
        <v>15.622169999999999</v>
      </c>
      <c r="G34" s="31">
        <f t="shared" si="7"/>
        <v>13.562756000000002</v>
      </c>
    </row>
    <row r="35" spans="1:7" ht="18" x14ac:dyDescent="0.2">
      <c r="A35" s="28" t="s">
        <v>136</v>
      </c>
      <c r="B35" s="32">
        <f t="shared" ref="B35:G35" si="8">B34/30</f>
        <v>0.99520666666666646</v>
      </c>
      <c r="C35" s="32">
        <f t="shared" si="8"/>
        <v>0.52947999999999995</v>
      </c>
      <c r="D35" s="32">
        <f t="shared" si="8"/>
        <v>0.36950000000000005</v>
      </c>
      <c r="E35" s="32">
        <f t="shared" si="8"/>
        <v>0.47889133333333334</v>
      </c>
      <c r="F35" s="32">
        <f t="shared" si="8"/>
        <v>0.52073899999999995</v>
      </c>
      <c r="G35" s="32">
        <f t="shared" si="8"/>
        <v>0.45209186666666673</v>
      </c>
    </row>
    <row r="36" spans="1:7" ht="18" x14ac:dyDescent="0.2">
      <c r="A36" s="22" t="s">
        <v>137</v>
      </c>
      <c r="B36" s="33">
        <f t="shared" ref="B36:G36" si="9">(B8*B14)/(B20*B5)</f>
        <v>0.33999999999999997</v>
      </c>
      <c r="C36" s="33">
        <f t="shared" si="9"/>
        <v>0.70833333333333337</v>
      </c>
      <c r="D36" s="33">
        <f t="shared" si="9"/>
        <v>0.77272727272727271</v>
      </c>
      <c r="E36" s="33">
        <f t="shared" si="9"/>
        <v>0.77272727272727271</v>
      </c>
      <c r="F36" s="33">
        <f t="shared" si="9"/>
        <v>0.77272727272727271</v>
      </c>
      <c r="G36" s="33">
        <f t="shared" si="9"/>
        <v>0.83333333333333315</v>
      </c>
    </row>
    <row r="37" spans="1:7" ht="18" x14ac:dyDescent="0.2">
      <c r="A37" s="22" t="s">
        <v>138</v>
      </c>
      <c r="B37" s="33">
        <f t="shared" ref="B37:G37" si="10">(B8*B15)/(B20*B6*1024)</f>
        <v>0.322265625</v>
      </c>
      <c r="C37" s="33">
        <f t="shared" si="10"/>
        <v>0.335693359375</v>
      </c>
      <c r="D37" s="33">
        <f t="shared" si="10"/>
        <v>0.3662109375</v>
      </c>
      <c r="E37" s="33">
        <f t="shared" si="10"/>
        <v>0.18310546875</v>
      </c>
      <c r="F37" s="33">
        <f t="shared" si="10"/>
        <v>0.18310546875</v>
      </c>
      <c r="G37" s="33">
        <f t="shared" si="10"/>
        <v>0.19746668198529413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3333"/>
  </sheetPr>
  <dimension ref="A1:W24"/>
  <sheetViews>
    <sheetView zoomScaleNormal="100" workbookViewId="0">
      <selection activeCell="B5" sqref="B5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4" width="16" customWidth="1"/>
    <col min="5" max="5" width="20" customWidth="1"/>
    <col min="6" max="6" width="15" customWidth="1"/>
    <col min="7" max="7" width="18" customWidth="1"/>
    <col min="8" max="10" width="16" customWidth="1"/>
    <col min="11" max="11" width="13" customWidth="1"/>
    <col min="12" max="12" width="15" customWidth="1"/>
    <col min="13" max="13" width="18" customWidth="1"/>
    <col min="14" max="14" width="14" customWidth="1"/>
    <col min="15" max="15" width="17" customWidth="1"/>
    <col min="16" max="16" width="14" customWidth="1"/>
    <col min="17" max="17" width="18" customWidth="1"/>
    <col min="18" max="18" width="17" customWidth="1"/>
    <col min="19" max="21" width="16" customWidth="1"/>
    <col min="22" max="23" width="14" customWidth="1"/>
  </cols>
  <sheetData>
    <row r="1" spans="1:23" ht="27" x14ac:dyDescent="0.2">
      <c r="A1" s="51" t="s">
        <v>139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3" ht="18" x14ac:dyDescent="0.2">
      <c r="A2" s="28" t="s">
        <v>1</v>
      </c>
      <c r="B2" s="23" t="s">
        <v>19</v>
      </c>
    </row>
    <row r="3" spans="1:23" ht="18" x14ac:dyDescent="0.2">
      <c r="A3" s="28" t="s">
        <v>4</v>
      </c>
      <c r="B3" s="24">
        <v>2</v>
      </c>
    </row>
    <row r="4" spans="1:23" ht="18" x14ac:dyDescent="0.2">
      <c r="A4" s="28" t="s">
        <v>5</v>
      </c>
      <c r="B4" s="24">
        <v>4</v>
      </c>
    </row>
    <row r="5" spans="1:23" ht="18" x14ac:dyDescent="0.2">
      <c r="A5" s="28" t="s">
        <v>6</v>
      </c>
      <c r="B5" s="25">
        <v>3.3599999999999998E-2</v>
      </c>
    </row>
    <row r="7" spans="1:23" ht="38" x14ac:dyDescent="0.2">
      <c r="A7" s="1" t="s">
        <v>140</v>
      </c>
      <c r="B7" s="1" t="s">
        <v>141</v>
      </c>
      <c r="C7" s="1" t="s">
        <v>142</v>
      </c>
      <c r="D7" s="1" t="s">
        <v>143</v>
      </c>
      <c r="E7" s="1" t="s">
        <v>144</v>
      </c>
      <c r="F7" s="1" t="s">
        <v>145</v>
      </c>
      <c r="G7" s="1" t="s">
        <v>146</v>
      </c>
      <c r="H7" s="1" t="s">
        <v>147</v>
      </c>
      <c r="I7" s="1" t="s">
        <v>148</v>
      </c>
      <c r="J7" s="1" t="s">
        <v>149</v>
      </c>
      <c r="K7" s="1" t="s">
        <v>150</v>
      </c>
      <c r="L7" s="1" t="s">
        <v>151</v>
      </c>
      <c r="M7" s="1" t="s">
        <v>152</v>
      </c>
      <c r="N7" s="1" t="s">
        <v>153</v>
      </c>
      <c r="O7" s="1" t="s">
        <v>154</v>
      </c>
      <c r="P7" s="1" t="s">
        <v>155</v>
      </c>
      <c r="Q7" s="1" t="s">
        <v>156</v>
      </c>
      <c r="R7" s="1" t="s">
        <v>157</v>
      </c>
      <c r="S7" s="1" t="s">
        <v>158</v>
      </c>
      <c r="T7" s="1" t="s">
        <v>108</v>
      </c>
      <c r="U7" s="1" t="s">
        <v>109</v>
      </c>
      <c r="V7" s="1" t="s">
        <v>159</v>
      </c>
      <c r="W7" s="1" t="s">
        <v>160</v>
      </c>
    </row>
    <row r="8" spans="1:23" ht="18" x14ac:dyDescent="0.2">
      <c r="A8" s="36">
        <v>5</v>
      </c>
      <c r="B8" s="37">
        <f>Parametres!B16+Parametres!B17+Parametres!B18+Parametres!B22</f>
        <v>0.25</v>
      </c>
      <c r="C8" s="3">
        <f>Parametres!B19+Parametres!B20+Parametres!B21+Parametres!B23</f>
        <v>840</v>
      </c>
      <c r="D8" s="37">
        <f t="shared" ref="D8:D24" si="0">$B$3-B8</f>
        <v>1.75</v>
      </c>
      <c r="E8" s="3">
        <f t="shared" ref="E8:E24" si="1">($B$4*1024)-C8</f>
        <v>3256</v>
      </c>
      <c r="F8" s="37">
        <f>(Parametres!B7*Parametres!B11)+(Parametres!B5*(1-Parametres!B11))</f>
        <v>0.33999999999999997</v>
      </c>
      <c r="G8" s="3">
        <f>(Parametres!B8*Parametres!B11)+(Parametres!B6*(1-Parametres!B11))</f>
        <v>330</v>
      </c>
      <c r="H8" s="3">
        <f t="shared" ref="H8:H24" si="2">FLOOR(D8/F8,1)</f>
        <v>5</v>
      </c>
      <c r="I8" s="3">
        <f t="shared" ref="I8:I24" si="3">FLOOR(E8/G8,1)</f>
        <v>9</v>
      </c>
      <c r="J8" s="36">
        <f t="shared" ref="J8:J24" si="4">MIN(H8,I8)</f>
        <v>5</v>
      </c>
      <c r="K8" s="3">
        <f t="shared" ref="K8:K24" si="5">CEILING(A8/J8,1)</f>
        <v>1</v>
      </c>
      <c r="L8" s="36">
        <f>CEILING(K8*(1+Parametres!B24),1)</f>
        <v>2</v>
      </c>
      <c r="M8" s="5">
        <f t="shared" ref="M8:M24" si="6">L8*$B$5*730</f>
        <v>49.055999999999997</v>
      </c>
      <c r="N8" s="5">
        <f>Parametres!B28*Parametres!B30*730</f>
        <v>91.103999999999999</v>
      </c>
      <c r="O8" s="5">
        <f>Parametres!B31*Parametres!B33*730</f>
        <v>30.367999999999999</v>
      </c>
      <c r="P8" s="5">
        <f>(A8*Parametres!B37*Parametres!B12)+(L8*50*Parametres!B37)+(Parametres!B28*30*Parametres!B37)</f>
        <v>17.2</v>
      </c>
      <c r="Q8" s="5">
        <f>Parametres!B38+Parametres!B39+Parametres!B40+Parametres!B43+Parametres!B44</f>
        <v>82.77</v>
      </c>
      <c r="R8" s="5">
        <f>A8*Parametres!B42*Parametres!B41</f>
        <v>0.89999999999999991</v>
      </c>
      <c r="S8" s="38">
        <f t="shared" ref="S8:S24" si="7">SUM(M8:R8)</f>
        <v>271.39799999999997</v>
      </c>
      <c r="T8" s="38">
        <f t="shared" ref="T8:T24" si="8">S8/A8</f>
        <v>54.279599999999995</v>
      </c>
      <c r="U8" s="4">
        <f t="shared" ref="U8:U24" si="9">T8/30</f>
        <v>1.8093199999999998</v>
      </c>
      <c r="V8" s="39">
        <f t="shared" ref="V8:V24" si="10">(A8*F8)/(L8*$B$3)</f>
        <v>0.42499999999999993</v>
      </c>
      <c r="W8" s="39">
        <f t="shared" ref="W8:W24" si="11">(A8*G8)/(L8*$B$4*1024)</f>
        <v>0.201416015625</v>
      </c>
    </row>
    <row r="9" spans="1:23" ht="18" x14ac:dyDescent="0.2">
      <c r="A9" s="40">
        <v>10</v>
      </c>
      <c r="B9" s="41">
        <f>Parametres!B16+Parametres!B17+Parametres!B18+Parametres!B22</f>
        <v>0.25</v>
      </c>
      <c r="C9" s="7">
        <f>Parametres!B19+Parametres!B20+Parametres!B21+Parametres!B23</f>
        <v>840</v>
      </c>
      <c r="D9" s="41">
        <f t="shared" si="0"/>
        <v>1.75</v>
      </c>
      <c r="E9" s="7">
        <f t="shared" si="1"/>
        <v>3256</v>
      </c>
      <c r="F9" s="41">
        <f>(Parametres!B7*Parametres!B11)+(Parametres!B5*(1-Parametres!B11))</f>
        <v>0.33999999999999997</v>
      </c>
      <c r="G9" s="7">
        <f>(Parametres!B8*Parametres!B11)+(Parametres!B6*(1-Parametres!B11))</f>
        <v>330</v>
      </c>
      <c r="H9" s="7">
        <f t="shared" si="2"/>
        <v>5</v>
      </c>
      <c r="I9" s="7">
        <f t="shared" si="3"/>
        <v>9</v>
      </c>
      <c r="J9" s="40">
        <f t="shared" si="4"/>
        <v>5</v>
      </c>
      <c r="K9" s="7">
        <f t="shared" si="5"/>
        <v>2</v>
      </c>
      <c r="L9" s="40">
        <f>CEILING(K9*(1+Parametres!B24),1)</f>
        <v>3</v>
      </c>
      <c r="M9" s="9">
        <f t="shared" si="6"/>
        <v>73.584000000000003</v>
      </c>
      <c r="N9" s="9">
        <f>Parametres!B28*Parametres!B30*730</f>
        <v>91.103999999999999</v>
      </c>
      <c r="O9" s="9">
        <f>Parametres!B31*Parametres!B33*730</f>
        <v>30.367999999999999</v>
      </c>
      <c r="P9" s="9">
        <f>(A9*Parametres!B37*Parametres!B12)+(L9*50*Parametres!B37)+(Parametres!B28*30*Parametres!B37)</f>
        <v>23.2</v>
      </c>
      <c r="Q9" s="9">
        <f>Parametres!B38+Parametres!B39+Parametres!B40+Parametres!B43+Parametres!B44</f>
        <v>82.77</v>
      </c>
      <c r="R9" s="9">
        <f>A9*Parametres!B42*Parametres!B41</f>
        <v>1.7999999999999998</v>
      </c>
      <c r="S9" s="42">
        <f t="shared" si="7"/>
        <v>302.82599999999996</v>
      </c>
      <c r="T9" s="42">
        <f t="shared" si="8"/>
        <v>30.282599999999995</v>
      </c>
      <c r="U9" s="8">
        <f t="shared" si="9"/>
        <v>1.0094199999999998</v>
      </c>
      <c r="V9" s="43">
        <f t="shared" si="10"/>
        <v>0.56666666666666654</v>
      </c>
      <c r="W9" s="43">
        <f t="shared" si="11"/>
        <v>0.2685546875</v>
      </c>
    </row>
    <row r="10" spans="1:23" ht="18" x14ac:dyDescent="0.2">
      <c r="A10" s="36">
        <v>15</v>
      </c>
      <c r="B10" s="37">
        <f>Parametres!B16+Parametres!B17+Parametres!B18+Parametres!B22</f>
        <v>0.25</v>
      </c>
      <c r="C10" s="3">
        <f>Parametres!B19+Parametres!B20+Parametres!B21+Parametres!B23</f>
        <v>840</v>
      </c>
      <c r="D10" s="37">
        <f t="shared" si="0"/>
        <v>1.75</v>
      </c>
      <c r="E10" s="3">
        <f t="shared" si="1"/>
        <v>3256</v>
      </c>
      <c r="F10" s="37">
        <f>(Parametres!B7*Parametres!B11)+(Parametres!B5*(1-Parametres!B11))</f>
        <v>0.33999999999999997</v>
      </c>
      <c r="G10" s="3">
        <f>(Parametres!B8*Parametres!B11)+(Parametres!B6*(1-Parametres!B11))</f>
        <v>330</v>
      </c>
      <c r="H10" s="3">
        <f t="shared" si="2"/>
        <v>5</v>
      </c>
      <c r="I10" s="3">
        <f t="shared" si="3"/>
        <v>9</v>
      </c>
      <c r="J10" s="36">
        <f t="shared" si="4"/>
        <v>5</v>
      </c>
      <c r="K10" s="3">
        <f t="shared" si="5"/>
        <v>3</v>
      </c>
      <c r="L10" s="36">
        <f>CEILING(K10*(1+Parametres!B24),1)</f>
        <v>4</v>
      </c>
      <c r="M10" s="5">
        <f t="shared" si="6"/>
        <v>98.111999999999995</v>
      </c>
      <c r="N10" s="5">
        <f>Parametres!B28*Parametres!B30*730</f>
        <v>91.103999999999999</v>
      </c>
      <c r="O10" s="5">
        <f>Parametres!B31*Parametres!B33*730</f>
        <v>30.367999999999999</v>
      </c>
      <c r="P10" s="5">
        <f>(A10*Parametres!B37*Parametres!B12)+(L10*50*Parametres!B37)+(Parametres!B28*30*Parametres!B37)</f>
        <v>29.2</v>
      </c>
      <c r="Q10" s="5">
        <f>Parametres!B38+Parametres!B39+Parametres!B40+Parametres!B43+Parametres!B44</f>
        <v>82.77</v>
      </c>
      <c r="R10" s="5">
        <f>A10*Parametres!B42*Parametres!B41</f>
        <v>2.6999999999999997</v>
      </c>
      <c r="S10" s="38">
        <f t="shared" si="7"/>
        <v>334.25399999999996</v>
      </c>
      <c r="T10" s="38">
        <f t="shared" si="8"/>
        <v>22.283599999999996</v>
      </c>
      <c r="U10" s="4">
        <f t="shared" si="9"/>
        <v>0.7427866666666666</v>
      </c>
      <c r="V10" s="39">
        <f t="shared" si="10"/>
        <v>0.63749999999999996</v>
      </c>
      <c r="W10" s="39">
        <f t="shared" si="11"/>
        <v>0.3021240234375</v>
      </c>
    </row>
    <row r="11" spans="1:23" ht="18" x14ac:dyDescent="0.2">
      <c r="A11" s="40">
        <v>20</v>
      </c>
      <c r="B11" s="41">
        <f>Parametres!B16+Parametres!B17+Parametres!B18+Parametres!B22</f>
        <v>0.25</v>
      </c>
      <c r="C11" s="7">
        <f>Parametres!B19+Parametres!B20+Parametres!B21+Parametres!B23</f>
        <v>840</v>
      </c>
      <c r="D11" s="41">
        <f t="shared" si="0"/>
        <v>1.75</v>
      </c>
      <c r="E11" s="7">
        <f t="shared" si="1"/>
        <v>3256</v>
      </c>
      <c r="F11" s="41">
        <f>(Parametres!B7*Parametres!B11)+(Parametres!B5*(1-Parametres!B11))</f>
        <v>0.33999999999999997</v>
      </c>
      <c r="G11" s="7">
        <f>(Parametres!B8*Parametres!B11)+(Parametres!B6*(1-Parametres!B11))</f>
        <v>330</v>
      </c>
      <c r="H11" s="7">
        <f t="shared" si="2"/>
        <v>5</v>
      </c>
      <c r="I11" s="7">
        <f t="shared" si="3"/>
        <v>9</v>
      </c>
      <c r="J11" s="40">
        <f t="shared" si="4"/>
        <v>5</v>
      </c>
      <c r="K11" s="7">
        <f t="shared" si="5"/>
        <v>4</v>
      </c>
      <c r="L11" s="40">
        <f>CEILING(K11*(1+Parametres!B24),1)</f>
        <v>5</v>
      </c>
      <c r="M11" s="9">
        <f t="shared" si="6"/>
        <v>122.63999999999999</v>
      </c>
      <c r="N11" s="9">
        <f>Parametres!B28*Parametres!B30*730</f>
        <v>91.103999999999999</v>
      </c>
      <c r="O11" s="9">
        <f>Parametres!B31*Parametres!B33*730</f>
        <v>30.367999999999999</v>
      </c>
      <c r="P11" s="9">
        <f>(A11*Parametres!B37*Parametres!B12)+(L11*50*Parametres!B37)+(Parametres!B28*30*Parametres!B37)</f>
        <v>35.200000000000003</v>
      </c>
      <c r="Q11" s="9">
        <f>Parametres!B38+Parametres!B39+Parametres!B40+Parametres!B43+Parametres!B44</f>
        <v>82.77</v>
      </c>
      <c r="R11" s="9">
        <f>A11*Parametres!B42*Parametres!B41</f>
        <v>3.5999999999999996</v>
      </c>
      <c r="S11" s="42">
        <f t="shared" si="7"/>
        <v>365.68199999999996</v>
      </c>
      <c r="T11" s="42">
        <f t="shared" si="8"/>
        <v>18.284099999999999</v>
      </c>
      <c r="U11" s="8">
        <f t="shared" si="9"/>
        <v>0.60946999999999996</v>
      </c>
      <c r="V11" s="43">
        <f t="shared" si="10"/>
        <v>0.67999999999999994</v>
      </c>
      <c r="W11" s="43">
        <f t="shared" si="11"/>
        <v>0.322265625</v>
      </c>
    </row>
    <row r="12" spans="1:23" ht="18" x14ac:dyDescent="0.2">
      <c r="A12" s="36">
        <v>25</v>
      </c>
      <c r="B12" s="37">
        <f>Parametres!B16+Parametres!B17+Parametres!B18+Parametres!B22</f>
        <v>0.25</v>
      </c>
      <c r="C12" s="3">
        <f>Parametres!B19+Parametres!B20+Parametres!B21+Parametres!B23</f>
        <v>840</v>
      </c>
      <c r="D12" s="37">
        <f t="shared" si="0"/>
        <v>1.75</v>
      </c>
      <c r="E12" s="3">
        <f t="shared" si="1"/>
        <v>3256</v>
      </c>
      <c r="F12" s="37">
        <f>(Parametres!B7*Parametres!B11)+(Parametres!B5*(1-Parametres!B11))</f>
        <v>0.33999999999999997</v>
      </c>
      <c r="G12" s="3">
        <f>(Parametres!B8*Parametres!B11)+(Parametres!B6*(1-Parametres!B11))</f>
        <v>330</v>
      </c>
      <c r="H12" s="3">
        <f t="shared" si="2"/>
        <v>5</v>
      </c>
      <c r="I12" s="3">
        <f t="shared" si="3"/>
        <v>9</v>
      </c>
      <c r="J12" s="36">
        <f t="shared" si="4"/>
        <v>5</v>
      </c>
      <c r="K12" s="3">
        <f t="shared" si="5"/>
        <v>5</v>
      </c>
      <c r="L12" s="36">
        <f>CEILING(K12*(1+Parametres!B24),1)</f>
        <v>6</v>
      </c>
      <c r="M12" s="5">
        <f t="shared" si="6"/>
        <v>147.16800000000001</v>
      </c>
      <c r="N12" s="5">
        <f>Parametres!B28*Parametres!B30*730</f>
        <v>91.103999999999999</v>
      </c>
      <c r="O12" s="5">
        <f>Parametres!B31*Parametres!B33*730</f>
        <v>30.367999999999999</v>
      </c>
      <c r="P12" s="5">
        <f>(A12*Parametres!B37*Parametres!B12)+(L12*50*Parametres!B37)+(Parametres!B28*30*Parametres!B37)</f>
        <v>41.2</v>
      </c>
      <c r="Q12" s="5">
        <f>Parametres!B38+Parametres!B39+Parametres!B40+Parametres!B43+Parametres!B44</f>
        <v>82.77</v>
      </c>
      <c r="R12" s="5">
        <f>A12*Parametres!B42*Parametres!B41</f>
        <v>4.5</v>
      </c>
      <c r="S12" s="38">
        <f t="shared" si="7"/>
        <v>397.10999999999996</v>
      </c>
      <c r="T12" s="38">
        <f t="shared" si="8"/>
        <v>15.884399999999998</v>
      </c>
      <c r="U12" s="4">
        <f t="shared" si="9"/>
        <v>0.52947999999999995</v>
      </c>
      <c r="V12" s="39">
        <f t="shared" si="10"/>
        <v>0.70833333333333337</v>
      </c>
      <c r="W12" s="39">
        <f t="shared" si="11"/>
        <v>0.335693359375</v>
      </c>
    </row>
    <row r="13" spans="1:23" ht="18" x14ac:dyDescent="0.2">
      <c r="A13" s="40">
        <v>30</v>
      </c>
      <c r="B13" s="41">
        <f>Parametres!B16+Parametres!B17+Parametres!B18+Parametres!B22</f>
        <v>0.25</v>
      </c>
      <c r="C13" s="7">
        <f>Parametres!B19+Parametres!B20+Parametres!B21+Parametres!B23</f>
        <v>840</v>
      </c>
      <c r="D13" s="41">
        <f t="shared" si="0"/>
        <v>1.75</v>
      </c>
      <c r="E13" s="7">
        <f t="shared" si="1"/>
        <v>3256</v>
      </c>
      <c r="F13" s="41">
        <f>(Parametres!B7*Parametres!B11)+(Parametres!B5*(1-Parametres!B11))</f>
        <v>0.33999999999999997</v>
      </c>
      <c r="G13" s="7">
        <f>(Parametres!B8*Parametres!B11)+(Parametres!B6*(1-Parametres!B11))</f>
        <v>330</v>
      </c>
      <c r="H13" s="7">
        <f t="shared" si="2"/>
        <v>5</v>
      </c>
      <c r="I13" s="7">
        <f t="shared" si="3"/>
        <v>9</v>
      </c>
      <c r="J13" s="40">
        <f t="shared" si="4"/>
        <v>5</v>
      </c>
      <c r="K13" s="7">
        <f t="shared" si="5"/>
        <v>6</v>
      </c>
      <c r="L13" s="40">
        <f>CEILING(K13*(1+Parametres!B24),1)</f>
        <v>7</v>
      </c>
      <c r="M13" s="9">
        <f t="shared" si="6"/>
        <v>171.696</v>
      </c>
      <c r="N13" s="9">
        <f>Parametres!B28*Parametres!B30*730</f>
        <v>91.103999999999999</v>
      </c>
      <c r="O13" s="9">
        <f>Parametres!B31*Parametres!B33*730</f>
        <v>30.367999999999999</v>
      </c>
      <c r="P13" s="9">
        <f>(A13*Parametres!B37*Parametres!B12)+(L13*50*Parametres!B37)+(Parametres!B28*30*Parametres!B37)</f>
        <v>47.2</v>
      </c>
      <c r="Q13" s="9">
        <f>Parametres!B38+Parametres!B39+Parametres!B40+Parametres!B43+Parametres!B44</f>
        <v>82.77</v>
      </c>
      <c r="R13" s="9">
        <f>A13*Parametres!B42*Parametres!B41</f>
        <v>5.3999999999999995</v>
      </c>
      <c r="S13" s="42">
        <f t="shared" si="7"/>
        <v>428.53799999999995</v>
      </c>
      <c r="T13" s="42">
        <f t="shared" si="8"/>
        <v>14.284599999999999</v>
      </c>
      <c r="U13" s="8">
        <f t="shared" si="9"/>
        <v>0.47615333333333332</v>
      </c>
      <c r="V13" s="43">
        <f t="shared" si="10"/>
        <v>0.72857142857142854</v>
      </c>
      <c r="W13" s="43">
        <f t="shared" si="11"/>
        <v>0.3452845982142857</v>
      </c>
    </row>
    <row r="14" spans="1:23" ht="18" x14ac:dyDescent="0.2">
      <c r="A14" s="36">
        <v>40</v>
      </c>
      <c r="B14" s="37">
        <f>Parametres!B16+Parametres!B17+Parametres!B18+Parametres!B22</f>
        <v>0.25</v>
      </c>
      <c r="C14" s="3">
        <f>Parametres!B19+Parametres!B20+Parametres!B21+Parametres!B23</f>
        <v>840</v>
      </c>
      <c r="D14" s="37">
        <f t="shared" si="0"/>
        <v>1.75</v>
      </c>
      <c r="E14" s="3">
        <f t="shared" si="1"/>
        <v>3256</v>
      </c>
      <c r="F14" s="37">
        <f>(Parametres!B7*Parametres!B11)+(Parametres!B5*(1-Parametres!B11))</f>
        <v>0.33999999999999997</v>
      </c>
      <c r="G14" s="3">
        <f>(Parametres!B8*Parametres!B11)+(Parametres!B6*(1-Parametres!B11))</f>
        <v>330</v>
      </c>
      <c r="H14" s="3">
        <f t="shared" si="2"/>
        <v>5</v>
      </c>
      <c r="I14" s="3">
        <f t="shared" si="3"/>
        <v>9</v>
      </c>
      <c r="J14" s="36">
        <f t="shared" si="4"/>
        <v>5</v>
      </c>
      <c r="K14" s="3">
        <f t="shared" si="5"/>
        <v>8</v>
      </c>
      <c r="L14" s="36">
        <f>CEILING(K14*(1+Parametres!B24),1)</f>
        <v>9</v>
      </c>
      <c r="M14" s="5">
        <f t="shared" si="6"/>
        <v>220.75200000000001</v>
      </c>
      <c r="N14" s="5">
        <f>Parametres!B28*Parametres!B30*730</f>
        <v>91.103999999999999</v>
      </c>
      <c r="O14" s="5">
        <f>Parametres!B31*Parametres!B33*730</f>
        <v>30.367999999999999</v>
      </c>
      <c r="P14" s="5">
        <f>(A14*Parametres!B37*Parametres!B12)+(L14*50*Parametres!B37)+(Parametres!B28*30*Parametres!B37)</f>
        <v>59.2</v>
      </c>
      <c r="Q14" s="5">
        <f>Parametres!B38+Parametres!B39+Parametres!B40+Parametres!B43+Parametres!B44</f>
        <v>82.77</v>
      </c>
      <c r="R14" s="5">
        <f>A14*Parametres!B42*Parametres!B41</f>
        <v>7.1999999999999993</v>
      </c>
      <c r="S14" s="38">
        <f t="shared" si="7"/>
        <v>491.39399999999995</v>
      </c>
      <c r="T14" s="38">
        <f t="shared" si="8"/>
        <v>12.284849999999999</v>
      </c>
      <c r="U14" s="4">
        <f t="shared" si="9"/>
        <v>0.40949499999999994</v>
      </c>
      <c r="V14" s="39">
        <f t="shared" si="10"/>
        <v>0.75555555555555542</v>
      </c>
      <c r="W14" s="39">
        <f t="shared" si="11"/>
        <v>0.35807291666666669</v>
      </c>
    </row>
    <row r="15" spans="1:23" ht="18" x14ac:dyDescent="0.2">
      <c r="A15" s="40">
        <v>50</v>
      </c>
      <c r="B15" s="41">
        <f>Parametres!B16+Parametres!B17+Parametres!B18+Parametres!B22</f>
        <v>0.25</v>
      </c>
      <c r="C15" s="7">
        <f>Parametres!B19+Parametres!B20+Parametres!B21+Parametres!B23</f>
        <v>840</v>
      </c>
      <c r="D15" s="41">
        <f t="shared" si="0"/>
        <v>1.75</v>
      </c>
      <c r="E15" s="7">
        <f t="shared" si="1"/>
        <v>3256</v>
      </c>
      <c r="F15" s="41">
        <f>(Parametres!B7*Parametres!B11)+(Parametres!B5*(1-Parametres!B11))</f>
        <v>0.33999999999999997</v>
      </c>
      <c r="G15" s="7">
        <f>(Parametres!B8*Parametres!B11)+(Parametres!B6*(1-Parametres!B11))</f>
        <v>330</v>
      </c>
      <c r="H15" s="7">
        <f t="shared" si="2"/>
        <v>5</v>
      </c>
      <c r="I15" s="7">
        <f t="shared" si="3"/>
        <v>9</v>
      </c>
      <c r="J15" s="40">
        <f t="shared" si="4"/>
        <v>5</v>
      </c>
      <c r="K15" s="7">
        <f t="shared" si="5"/>
        <v>10</v>
      </c>
      <c r="L15" s="40">
        <f>CEILING(K15*(1+Parametres!B24),1)</f>
        <v>11</v>
      </c>
      <c r="M15" s="9">
        <f t="shared" si="6"/>
        <v>269.80799999999999</v>
      </c>
      <c r="N15" s="9">
        <f>Parametres!B28*Parametres!B30*730</f>
        <v>91.103999999999999</v>
      </c>
      <c r="O15" s="9">
        <f>Parametres!B31*Parametres!B33*730</f>
        <v>30.367999999999999</v>
      </c>
      <c r="P15" s="9">
        <f>(A15*Parametres!B37*Parametres!B12)+(L15*50*Parametres!B37)+(Parametres!B28*30*Parametres!B37)</f>
        <v>71.2</v>
      </c>
      <c r="Q15" s="9">
        <f>Parametres!B38+Parametres!B39+Parametres!B40+Parametres!B43+Parametres!B44</f>
        <v>82.77</v>
      </c>
      <c r="R15" s="9">
        <f>A15*Parametres!B42*Parametres!B41</f>
        <v>9</v>
      </c>
      <c r="S15" s="42">
        <f t="shared" si="7"/>
        <v>554.25</v>
      </c>
      <c r="T15" s="42">
        <f t="shared" si="8"/>
        <v>11.085000000000001</v>
      </c>
      <c r="U15" s="8">
        <f t="shared" si="9"/>
        <v>0.36950000000000005</v>
      </c>
      <c r="V15" s="43">
        <f t="shared" si="10"/>
        <v>0.77272727272727271</v>
      </c>
      <c r="W15" s="43">
        <f t="shared" si="11"/>
        <v>0.3662109375</v>
      </c>
    </row>
    <row r="16" spans="1:23" ht="18" x14ac:dyDescent="0.2">
      <c r="A16" s="36">
        <v>75</v>
      </c>
      <c r="B16" s="37">
        <f>Parametres!B16+Parametres!B17+Parametres!B18+Parametres!B22</f>
        <v>0.25</v>
      </c>
      <c r="C16" s="3">
        <f>Parametres!B19+Parametres!B20+Parametres!B21+Parametres!B23</f>
        <v>840</v>
      </c>
      <c r="D16" s="37">
        <f t="shared" si="0"/>
        <v>1.75</v>
      </c>
      <c r="E16" s="3">
        <f t="shared" si="1"/>
        <v>3256</v>
      </c>
      <c r="F16" s="37">
        <f>(Parametres!B7*Parametres!B11)+(Parametres!B5*(1-Parametres!B11))</f>
        <v>0.33999999999999997</v>
      </c>
      <c r="G16" s="3">
        <f>(Parametres!B8*Parametres!B11)+(Parametres!B6*(1-Parametres!B11))</f>
        <v>330</v>
      </c>
      <c r="H16" s="3">
        <f t="shared" si="2"/>
        <v>5</v>
      </c>
      <c r="I16" s="3">
        <f t="shared" si="3"/>
        <v>9</v>
      </c>
      <c r="J16" s="36">
        <f t="shared" si="4"/>
        <v>5</v>
      </c>
      <c r="K16" s="3">
        <f t="shared" si="5"/>
        <v>15</v>
      </c>
      <c r="L16" s="36">
        <f>CEILING(K16*(1+Parametres!B24),1)</f>
        <v>17</v>
      </c>
      <c r="M16" s="5">
        <f t="shared" si="6"/>
        <v>416.97599999999994</v>
      </c>
      <c r="N16" s="5">
        <f>Parametres!B28*Parametres!B30*730</f>
        <v>91.103999999999999</v>
      </c>
      <c r="O16" s="5">
        <f>Parametres!B31*Parametres!B33*730</f>
        <v>30.367999999999999</v>
      </c>
      <c r="P16" s="5">
        <f>(A16*Parametres!B37*Parametres!B12)+(L16*50*Parametres!B37)+(Parametres!B28*30*Parametres!B37)</f>
        <v>105.2</v>
      </c>
      <c r="Q16" s="5">
        <f>Parametres!B38+Parametres!B39+Parametres!B40+Parametres!B43+Parametres!B44</f>
        <v>82.77</v>
      </c>
      <c r="R16" s="5">
        <f>A16*Parametres!B42*Parametres!B41</f>
        <v>13.5</v>
      </c>
      <c r="S16" s="38">
        <f t="shared" si="7"/>
        <v>739.91800000000001</v>
      </c>
      <c r="T16" s="38">
        <f t="shared" si="8"/>
        <v>9.8655733333333337</v>
      </c>
      <c r="U16" s="4">
        <f t="shared" si="9"/>
        <v>0.32885244444444445</v>
      </c>
      <c r="V16" s="39">
        <f t="shared" si="10"/>
        <v>0.74999999999999989</v>
      </c>
      <c r="W16" s="39">
        <f t="shared" si="11"/>
        <v>0.35544002757352944</v>
      </c>
    </row>
    <row r="17" spans="1:23" ht="18" x14ac:dyDescent="0.2">
      <c r="A17" s="40">
        <v>100</v>
      </c>
      <c r="B17" s="41">
        <f>Parametres!B16+Parametres!B17+Parametres!B18+Parametres!B22</f>
        <v>0.25</v>
      </c>
      <c r="C17" s="7">
        <f>Parametres!B19+Parametres!B20+Parametres!B21+Parametres!B23</f>
        <v>840</v>
      </c>
      <c r="D17" s="41">
        <f t="shared" si="0"/>
        <v>1.75</v>
      </c>
      <c r="E17" s="7">
        <f t="shared" si="1"/>
        <v>3256</v>
      </c>
      <c r="F17" s="41">
        <f>(Parametres!B7*Parametres!B11)+(Parametres!B5*(1-Parametres!B11))</f>
        <v>0.33999999999999997</v>
      </c>
      <c r="G17" s="7">
        <f>(Parametres!B8*Parametres!B11)+(Parametres!B6*(1-Parametres!B11))</f>
        <v>330</v>
      </c>
      <c r="H17" s="7">
        <f t="shared" si="2"/>
        <v>5</v>
      </c>
      <c r="I17" s="7">
        <f t="shared" si="3"/>
        <v>9</v>
      </c>
      <c r="J17" s="40">
        <f t="shared" si="4"/>
        <v>5</v>
      </c>
      <c r="K17" s="7">
        <f t="shared" si="5"/>
        <v>20</v>
      </c>
      <c r="L17" s="40">
        <f>CEILING(K17*(1+Parametres!B24),1)</f>
        <v>22</v>
      </c>
      <c r="M17" s="9">
        <f t="shared" si="6"/>
        <v>539.61599999999999</v>
      </c>
      <c r="N17" s="9">
        <f>Parametres!B28*Parametres!B30*730</f>
        <v>91.103999999999999</v>
      </c>
      <c r="O17" s="9">
        <f>Parametres!B31*Parametres!B33*730</f>
        <v>30.367999999999999</v>
      </c>
      <c r="P17" s="9">
        <f>(A17*Parametres!B37*Parametres!B12)+(L17*50*Parametres!B37)+(Parametres!B28*30*Parametres!B37)</f>
        <v>135.19999999999999</v>
      </c>
      <c r="Q17" s="9">
        <f>Parametres!B38+Parametres!B39+Parametres!B40+Parametres!B43+Parametres!B44</f>
        <v>82.77</v>
      </c>
      <c r="R17" s="9">
        <f>A17*Parametres!B42*Parametres!B41</f>
        <v>18</v>
      </c>
      <c r="S17" s="42">
        <f t="shared" si="7"/>
        <v>897.05799999999999</v>
      </c>
      <c r="T17" s="42">
        <f t="shared" si="8"/>
        <v>8.97058</v>
      </c>
      <c r="U17" s="8">
        <f t="shared" si="9"/>
        <v>0.29901933333333336</v>
      </c>
      <c r="V17" s="43">
        <f t="shared" si="10"/>
        <v>0.77272727272727271</v>
      </c>
      <c r="W17" s="43">
        <f t="shared" si="11"/>
        <v>0.3662109375</v>
      </c>
    </row>
    <row r="18" spans="1:23" ht="18" x14ac:dyDescent="0.2">
      <c r="A18" s="36">
        <v>150</v>
      </c>
      <c r="B18" s="37">
        <f>Parametres!B16+Parametres!B17+Parametres!B18+Parametres!B22</f>
        <v>0.25</v>
      </c>
      <c r="C18" s="3">
        <f>Parametres!B19+Parametres!B20+Parametres!B21+Parametres!B23</f>
        <v>840</v>
      </c>
      <c r="D18" s="37">
        <f t="shared" si="0"/>
        <v>1.75</v>
      </c>
      <c r="E18" s="3">
        <f t="shared" si="1"/>
        <v>3256</v>
      </c>
      <c r="F18" s="37">
        <f>(Parametres!B7*Parametres!B11)+(Parametres!B5*(1-Parametres!B11))</f>
        <v>0.33999999999999997</v>
      </c>
      <c r="G18" s="3">
        <f>(Parametres!B8*Parametres!B11)+(Parametres!B6*(1-Parametres!B11))</f>
        <v>330</v>
      </c>
      <c r="H18" s="3">
        <f t="shared" si="2"/>
        <v>5</v>
      </c>
      <c r="I18" s="3">
        <f t="shared" si="3"/>
        <v>9</v>
      </c>
      <c r="J18" s="36">
        <f t="shared" si="4"/>
        <v>5</v>
      </c>
      <c r="K18" s="3">
        <f t="shared" si="5"/>
        <v>30</v>
      </c>
      <c r="L18" s="36">
        <f>CEILING(K18*(1+Parametres!B24),1)</f>
        <v>33</v>
      </c>
      <c r="M18" s="5">
        <f t="shared" si="6"/>
        <v>809.42399999999998</v>
      </c>
      <c r="N18" s="5">
        <f>Parametres!B28*Parametres!B30*730</f>
        <v>91.103999999999999</v>
      </c>
      <c r="O18" s="5">
        <f>Parametres!B31*Parametres!B33*730</f>
        <v>30.367999999999999</v>
      </c>
      <c r="P18" s="5">
        <f>(A18*Parametres!B37*Parametres!B12)+(L18*50*Parametres!B37)+(Parametres!B28*30*Parametres!B37)</f>
        <v>199.2</v>
      </c>
      <c r="Q18" s="5">
        <f>Parametres!B38+Parametres!B39+Parametres!B40+Parametres!B43+Parametres!B44</f>
        <v>82.77</v>
      </c>
      <c r="R18" s="5">
        <f>A18*Parametres!B42*Parametres!B41</f>
        <v>27</v>
      </c>
      <c r="S18" s="38">
        <f t="shared" si="7"/>
        <v>1239.866</v>
      </c>
      <c r="T18" s="38">
        <f t="shared" si="8"/>
        <v>8.2657733333333336</v>
      </c>
      <c r="U18" s="4">
        <f t="shared" si="9"/>
        <v>0.27552577777777781</v>
      </c>
      <c r="V18" s="39">
        <f t="shared" si="10"/>
        <v>0.7727272727272726</v>
      </c>
      <c r="W18" s="39">
        <f t="shared" si="11"/>
        <v>0.3662109375</v>
      </c>
    </row>
    <row r="19" spans="1:23" ht="18" x14ac:dyDescent="0.2">
      <c r="A19" s="40">
        <v>200</v>
      </c>
      <c r="B19" s="41">
        <f>Parametres!B16+Parametres!B17+Parametres!B18+Parametres!B22</f>
        <v>0.25</v>
      </c>
      <c r="C19" s="7">
        <f>Parametres!B19+Parametres!B20+Parametres!B21+Parametres!B23</f>
        <v>840</v>
      </c>
      <c r="D19" s="41">
        <f t="shared" si="0"/>
        <v>1.75</v>
      </c>
      <c r="E19" s="7">
        <f t="shared" si="1"/>
        <v>3256</v>
      </c>
      <c r="F19" s="41">
        <f>(Parametres!B7*Parametres!B11)+(Parametres!B5*(1-Parametres!B11))</f>
        <v>0.33999999999999997</v>
      </c>
      <c r="G19" s="7">
        <f>(Parametres!B8*Parametres!B11)+(Parametres!B6*(1-Parametres!B11))</f>
        <v>330</v>
      </c>
      <c r="H19" s="7">
        <f t="shared" si="2"/>
        <v>5</v>
      </c>
      <c r="I19" s="7">
        <f t="shared" si="3"/>
        <v>9</v>
      </c>
      <c r="J19" s="40">
        <f t="shared" si="4"/>
        <v>5</v>
      </c>
      <c r="K19" s="7">
        <f t="shared" si="5"/>
        <v>40</v>
      </c>
      <c r="L19" s="40">
        <f>CEILING(K19*(1+Parametres!B24),1)</f>
        <v>44</v>
      </c>
      <c r="M19" s="9">
        <f t="shared" si="6"/>
        <v>1079.232</v>
      </c>
      <c r="N19" s="9">
        <f>Parametres!B28*Parametres!B30*730</f>
        <v>91.103999999999999</v>
      </c>
      <c r="O19" s="9">
        <f>Parametres!B31*Parametres!B33*730</f>
        <v>30.367999999999999</v>
      </c>
      <c r="P19" s="9">
        <f>(A19*Parametres!B37*Parametres!B12)+(L19*50*Parametres!B37)+(Parametres!B28*30*Parametres!B37)</f>
        <v>263.2</v>
      </c>
      <c r="Q19" s="9">
        <f>Parametres!B38+Parametres!B39+Parametres!B40+Parametres!B43+Parametres!B44</f>
        <v>82.77</v>
      </c>
      <c r="R19" s="9">
        <f>A19*Parametres!B42*Parametres!B41</f>
        <v>36</v>
      </c>
      <c r="S19" s="42">
        <f t="shared" si="7"/>
        <v>1582.674</v>
      </c>
      <c r="T19" s="42">
        <f t="shared" si="8"/>
        <v>7.9133699999999996</v>
      </c>
      <c r="U19" s="8">
        <f t="shared" si="9"/>
        <v>0.26377899999999999</v>
      </c>
      <c r="V19" s="43">
        <f t="shared" si="10"/>
        <v>0.77272727272727271</v>
      </c>
      <c r="W19" s="43">
        <f t="shared" si="11"/>
        <v>0.3662109375</v>
      </c>
    </row>
    <row r="20" spans="1:23" ht="18" x14ac:dyDescent="0.2">
      <c r="A20" s="36">
        <v>300</v>
      </c>
      <c r="B20" s="37">
        <f>Parametres!B16+Parametres!B17+Parametres!B18+Parametres!B22</f>
        <v>0.25</v>
      </c>
      <c r="C20" s="3">
        <f>Parametres!B19+Parametres!B20+Parametres!B21+Parametres!B23</f>
        <v>840</v>
      </c>
      <c r="D20" s="37">
        <f t="shared" si="0"/>
        <v>1.75</v>
      </c>
      <c r="E20" s="3">
        <f t="shared" si="1"/>
        <v>3256</v>
      </c>
      <c r="F20" s="37">
        <f>(Parametres!B7*Parametres!B11)+(Parametres!B5*(1-Parametres!B11))</f>
        <v>0.33999999999999997</v>
      </c>
      <c r="G20" s="3">
        <f>(Parametres!B8*Parametres!B11)+(Parametres!B6*(1-Parametres!B11))</f>
        <v>330</v>
      </c>
      <c r="H20" s="3">
        <f t="shared" si="2"/>
        <v>5</v>
      </c>
      <c r="I20" s="3">
        <f t="shared" si="3"/>
        <v>9</v>
      </c>
      <c r="J20" s="36">
        <f t="shared" si="4"/>
        <v>5</v>
      </c>
      <c r="K20" s="3">
        <f t="shared" si="5"/>
        <v>60</v>
      </c>
      <c r="L20" s="36">
        <f>CEILING(K20*(1+Parametres!B24),1)</f>
        <v>66</v>
      </c>
      <c r="M20" s="5">
        <f t="shared" si="6"/>
        <v>1618.848</v>
      </c>
      <c r="N20" s="5">
        <f>Parametres!B28*Parametres!B30*730</f>
        <v>91.103999999999999</v>
      </c>
      <c r="O20" s="5">
        <f>Parametres!B31*Parametres!B33*730</f>
        <v>30.367999999999999</v>
      </c>
      <c r="P20" s="5">
        <f>(A20*Parametres!B37*Parametres!B12)+(L20*50*Parametres!B37)+(Parametres!B28*30*Parametres!B37)</f>
        <v>391.2</v>
      </c>
      <c r="Q20" s="5">
        <f>Parametres!B38+Parametres!B39+Parametres!B40+Parametres!B43+Parametres!B44</f>
        <v>82.77</v>
      </c>
      <c r="R20" s="5">
        <f>A20*Parametres!B42*Parametres!B41</f>
        <v>54</v>
      </c>
      <c r="S20" s="38">
        <f t="shared" si="7"/>
        <v>2268.29</v>
      </c>
      <c r="T20" s="38">
        <f t="shared" si="8"/>
        <v>7.5609666666666664</v>
      </c>
      <c r="U20" s="4">
        <f t="shared" si="9"/>
        <v>0.25203222222222221</v>
      </c>
      <c r="V20" s="39">
        <f t="shared" si="10"/>
        <v>0.7727272727272726</v>
      </c>
      <c r="W20" s="39">
        <f t="shared" si="11"/>
        <v>0.3662109375</v>
      </c>
    </row>
    <row r="21" spans="1:23" ht="18" x14ac:dyDescent="0.2">
      <c r="A21" s="40">
        <v>400</v>
      </c>
      <c r="B21" s="41">
        <f>Parametres!B16+Parametres!B17+Parametres!B18+Parametres!B22</f>
        <v>0.25</v>
      </c>
      <c r="C21" s="7">
        <f>Parametres!B19+Parametres!B20+Parametres!B21+Parametres!B23</f>
        <v>840</v>
      </c>
      <c r="D21" s="41">
        <f t="shared" si="0"/>
        <v>1.75</v>
      </c>
      <c r="E21" s="7">
        <f t="shared" si="1"/>
        <v>3256</v>
      </c>
      <c r="F21" s="41">
        <f>(Parametres!B7*Parametres!B11)+(Parametres!B5*(1-Parametres!B11))</f>
        <v>0.33999999999999997</v>
      </c>
      <c r="G21" s="7">
        <f>(Parametres!B8*Parametres!B11)+(Parametres!B6*(1-Parametres!B11))</f>
        <v>330</v>
      </c>
      <c r="H21" s="7">
        <f t="shared" si="2"/>
        <v>5</v>
      </c>
      <c r="I21" s="7">
        <f t="shared" si="3"/>
        <v>9</v>
      </c>
      <c r="J21" s="40">
        <f t="shared" si="4"/>
        <v>5</v>
      </c>
      <c r="K21" s="7">
        <f t="shared" si="5"/>
        <v>80</v>
      </c>
      <c r="L21" s="40">
        <f>CEILING(K21*(1+Parametres!B24),1)</f>
        <v>88</v>
      </c>
      <c r="M21" s="9">
        <f t="shared" si="6"/>
        <v>2158.4639999999999</v>
      </c>
      <c r="N21" s="9">
        <f>Parametres!B28*Parametres!B30*730</f>
        <v>91.103999999999999</v>
      </c>
      <c r="O21" s="9">
        <f>Parametres!B31*Parametres!B33*730</f>
        <v>30.367999999999999</v>
      </c>
      <c r="P21" s="9">
        <f>(A21*Parametres!B37*Parametres!B12)+(L21*50*Parametres!B37)+(Parametres!B28*30*Parametres!B37)</f>
        <v>519.20000000000005</v>
      </c>
      <c r="Q21" s="9">
        <f>Parametres!B38+Parametres!B39+Parametres!B40+Parametres!B43+Parametres!B44</f>
        <v>82.77</v>
      </c>
      <c r="R21" s="9">
        <f>A21*Parametres!B42*Parametres!B41</f>
        <v>72</v>
      </c>
      <c r="S21" s="42">
        <f t="shared" si="7"/>
        <v>2953.9059999999995</v>
      </c>
      <c r="T21" s="42">
        <f t="shared" si="8"/>
        <v>7.3847649999999989</v>
      </c>
      <c r="U21" s="8">
        <f t="shared" si="9"/>
        <v>0.2461588333333333</v>
      </c>
      <c r="V21" s="43">
        <f t="shared" si="10"/>
        <v>0.77272727272727271</v>
      </c>
      <c r="W21" s="43">
        <f t="shared" si="11"/>
        <v>0.3662109375</v>
      </c>
    </row>
    <row r="22" spans="1:23" ht="18" x14ac:dyDescent="0.2">
      <c r="A22" s="36">
        <v>500</v>
      </c>
      <c r="B22" s="37">
        <f>Parametres!B16+Parametres!B17+Parametres!B18+Parametres!B22</f>
        <v>0.25</v>
      </c>
      <c r="C22" s="3">
        <f>Parametres!B19+Parametres!B20+Parametres!B21+Parametres!B23</f>
        <v>840</v>
      </c>
      <c r="D22" s="37">
        <f t="shared" si="0"/>
        <v>1.75</v>
      </c>
      <c r="E22" s="3">
        <f t="shared" si="1"/>
        <v>3256</v>
      </c>
      <c r="F22" s="37">
        <f>(Parametres!B7*Parametres!B11)+(Parametres!B5*(1-Parametres!B11))</f>
        <v>0.33999999999999997</v>
      </c>
      <c r="G22" s="3">
        <f>(Parametres!B8*Parametres!B11)+(Parametres!B6*(1-Parametres!B11))</f>
        <v>330</v>
      </c>
      <c r="H22" s="3">
        <f t="shared" si="2"/>
        <v>5</v>
      </c>
      <c r="I22" s="3">
        <f t="shared" si="3"/>
        <v>9</v>
      </c>
      <c r="J22" s="36">
        <f t="shared" si="4"/>
        <v>5</v>
      </c>
      <c r="K22" s="3">
        <f t="shared" si="5"/>
        <v>100</v>
      </c>
      <c r="L22" s="36">
        <f>CEILING(K22*(1+Parametres!B24),1)</f>
        <v>110</v>
      </c>
      <c r="M22" s="5">
        <f t="shared" si="6"/>
        <v>2698.08</v>
      </c>
      <c r="N22" s="5">
        <f>Parametres!B28*Parametres!B30*730</f>
        <v>91.103999999999999</v>
      </c>
      <c r="O22" s="5">
        <f>Parametres!B31*Parametres!B33*730</f>
        <v>30.367999999999999</v>
      </c>
      <c r="P22" s="5">
        <f>(A22*Parametres!B37*Parametres!B12)+(L22*50*Parametres!B37)+(Parametres!B28*30*Parametres!B37)</f>
        <v>647.20000000000005</v>
      </c>
      <c r="Q22" s="5">
        <f>Parametres!B38+Parametres!B39+Parametres!B40+Parametres!B43+Parametres!B44</f>
        <v>82.77</v>
      </c>
      <c r="R22" s="5">
        <f>A22*Parametres!B42*Parametres!B41</f>
        <v>90</v>
      </c>
      <c r="S22" s="38">
        <f t="shared" si="7"/>
        <v>3639.5219999999995</v>
      </c>
      <c r="T22" s="38">
        <f t="shared" si="8"/>
        <v>7.279043999999999</v>
      </c>
      <c r="U22" s="4">
        <f t="shared" si="9"/>
        <v>0.24263479999999996</v>
      </c>
      <c r="V22" s="39">
        <f t="shared" si="10"/>
        <v>0.7727272727272726</v>
      </c>
      <c r="W22" s="39">
        <f t="shared" si="11"/>
        <v>0.3662109375</v>
      </c>
    </row>
    <row r="23" spans="1:23" ht="18" x14ac:dyDescent="0.2">
      <c r="A23" s="40">
        <v>750</v>
      </c>
      <c r="B23" s="41">
        <f>Parametres!B16+Parametres!B17+Parametres!B18+Parametres!B22</f>
        <v>0.25</v>
      </c>
      <c r="C23" s="7">
        <f>Parametres!B19+Parametres!B20+Parametres!B21+Parametres!B23</f>
        <v>840</v>
      </c>
      <c r="D23" s="41">
        <f t="shared" si="0"/>
        <v>1.75</v>
      </c>
      <c r="E23" s="7">
        <f t="shared" si="1"/>
        <v>3256</v>
      </c>
      <c r="F23" s="41">
        <f>(Parametres!B7*Parametres!B11)+(Parametres!B5*(1-Parametres!B11))</f>
        <v>0.33999999999999997</v>
      </c>
      <c r="G23" s="7">
        <f>(Parametres!B8*Parametres!B11)+(Parametres!B6*(1-Parametres!B11))</f>
        <v>330</v>
      </c>
      <c r="H23" s="7">
        <f t="shared" si="2"/>
        <v>5</v>
      </c>
      <c r="I23" s="7">
        <f t="shared" si="3"/>
        <v>9</v>
      </c>
      <c r="J23" s="40">
        <f t="shared" si="4"/>
        <v>5</v>
      </c>
      <c r="K23" s="7">
        <f t="shared" si="5"/>
        <v>150</v>
      </c>
      <c r="L23" s="40">
        <f>CEILING(K23*(1+Parametres!B24),1)</f>
        <v>165</v>
      </c>
      <c r="M23" s="9">
        <f t="shared" si="6"/>
        <v>4047.12</v>
      </c>
      <c r="N23" s="9">
        <f>Parametres!B28*Parametres!B30*730</f>
        <v>91.103999999999999</v>
      </c>
      <c r="O23" s="9">
        <f>Parametres!B31*Parametres!B33*730</f>
        <v>30.367999999999999</v>
      </c>
      <c r="P23" s="9">
        <f>(A23*Parametres!B37*Parametres!B12)+(L23*50*Parametres!B37)+(Parametres!B28*30*Parametres!B37)</f>
        <v>967.2</v>
      </c>
      <c r="Q23" s="9">
        <f>Parametres!B38+Parametres!B39+Parametres!B40+Parametres!B43+Parametres!B44</f>
        <v>82.77</v>
      </c>
      <c r="R23" s="9">
        <f>A23*Parametres!B42*Parametres!B41</f>
        <v>135</v>
      </c>
      <c r="S23" s="42">
        <f t="shared" si="7"/>
        <v>5353.5620000000008</v>
      </c>
      <c r="T23" s="42">
        <f t="shared" si="8"/>
        <v>7.1380826666666675</v>
      </c>
      <c r="U23" s="8">
        <f t="shared" si="9"/>
        <v>0.23793608888888892</v>
      </c>
      <c r="V23" s="43">
        <f t="shared" si="10"/>
        <v>0.7727272727272726</v>
      </c>
      <c r="W23" s="43">
        <f t="shared" si="11"/>
        <v>0.3662109375</v>
      </c>
    </row>
    <row r="24" spans="1:23" ht="18" x14ac:dyDescent="0.2">
      <c r="A24" s="36">
        <v>1000</v>
      </c>
      <c r="B24" s="37">
        <f>Parametres!B16+Parametres!B17+Parametres!B18+Parametres!B22</f>
        <v>0.25</v>
      </c>
      <c r="C24" s="3">
        <f>Parametres!B19+Parametres!B20+Parametres!B21+Parametres!B23</f>
        <v>840</v>
      </c>
      <c r="D24" s="37">
        <f t="shared" si="0"/>
        <v>1.75</v>
      </c>
      <c r="E24" s="3">
        <f t="shared" si="1"/>
        <v>3256</v>
      </c>
      <c r="F24" s="37">
        <f>(Parametres!B7*Parametres!B11)+(Parametres!B5*(1-Parametres!B11))</f>
        <v>0.33999999999999997</v>
      </c>
      <c r="G24" s="3">
        <f>(Parametres!B8*Parametres!B11)+(Parametres!B6*(1-Parametres!B11))</f>
        <v>330</v>
      </c>
      <c r="H24" s="3">
        <f t="shared" si="2"/>
        <v>5</v>
      </c>
      <c r="I24" s="3">
        <f t="shared" si="3"/>
        <v>9</v>
      </c>
      <c r="J24" s="36">
        <f t="shared" si="4"/>
        <v>5</v>
      </c>
      <c r="K24" s="3">
        <f t="shared" si="5"/>
        <v>200</v>
      </c>
      <c r="L24" s="36">
        <f>CEILING(K24*(1+Parametres!B24),1)</f>
        <v>220</v>
      </c>
      <c r="M24" s="5">
        <f t="shared" si="6"/>
        <v>5396.16</v>
      </c>
      <c r="N24" s="5">
        <f>Parametres!B28*Parametres!B30*730</f>
        <v>91.103999999999999</v>
      </c>
      <c r="O24" s="5">
        <f>Parametres!B31*Parametres!B33*730</f>
        <v>30.367999999999999</v>
      </c>
      <c r="P24" s="5">
        <f>(A24*Parametres!B37*Parametres!B12)+(L24*50*Parametres!B37)+(Parametres!B28*30*Parametres!B37)</f>
        <v>1287.2</v>
      </c>
      <c r="Q24" s="5">
        <f>Parametres!B38+Parametres!B39+Parametres!B40+Parametres!B43+Parametres!B44</f>
        <v>82.77</v>
      </c>
      <c r="R24" s="5">
        <f>A24*Parametres!B42*Parametres!B41</f>
        <v>180</v>
      </c>
      <c r="S24" s="38">
        <f t="shared" si="7"/>
        <v>7067.6020000000008</v>
      </c>
      <c r="T24" s="38">
        <f t="shared" si="8"/>
        <v>7.0676020000000008</v>
      </c>
      <c r="U24" s="4">
        <f t="shared" si="9"/>
        <v>0.23558673333333335</v>
      </c>
      <c r="V24" s="39">
        <f t="shared" si="10"/>
        <v>0.7727272727272726</v>
      </c>
      <c r="W24" s="39">
        <f t="shared" si="11"/>
        <v>0.3662109375</v>
      </c>
    </row>
  </sheetData>
  <mergeCells count="1">
    <mergeCell ref="A1:W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33333"/>
  </sheetPr>
  <dimension ref="A1:F39"/>
  <sheetViews>
    <sheetView topLeftCell="A9" zoomScaleNormal="100" workbookViewId="0">
      <selection activeCell="D22" sqref="D22"/>
    </sheetView>
  </sheetViews>
  <sheetFormatPr baseColWidth="10" defaultColWidth="8.6640625" defaultRowHeight="15" x14ac:dyDescent="0.2"/>
  <cols>
    <col min="1" max="1" width="38" customWidth="1"/>
    <col min="2" max="2" width="20" customWidth="1"/>
    <col min="3" max="4" width="22" customWidth="1"/>
    <col min="5" max="5" width="16" customWidth="1"/>
    <col min="6" max="6" width="14" customWidth="1"/>
  </cols>
  <sheetData>
    <row r="1" spans="1:6" ht="27" x14ac:dyDescent="0.2">
      <c r="A1" s="51" t="s">
        <v>161</v>
      </c>
      <c r="B1" s="51"/>
      <c r="C1" s="51"/>
      <c r="D1" s="51"/>
      <c r="E1" s="51"/>
      <c r="F1" s="51"/>
    </row>
    <row r="3" spans="1:6" ht="19" x14ac:dyDescent="0.2">
      <c r="A3" s="10" t="s">
        <v>162</v>
      </c>
    </row>
    <row r="4" spans="1:6" ht="18" x14ac:dyDescent="0.2">
      <c r="A4" s="22" t="s">
        <v>163</v>
      </c>
      <c r="B4" s="24">
        <v>30</v>
      </c>
    </row>
    <row r="5" spans="1:6" ht="18" x14ac:dyDescent="0.2">
      <c r="A5" s="22" t="s">
        <v>164</v>
      </c>
      <c r="B5" s="44">
        <v>0.1</v>
      </c>
    </row>
    <row r="6" spans="1:6" ht="18" x14ac:dyDescent="0.2">
      <c r="A6" s="22" t="s">
        <v>165</v>
      </c>
      <c r="B6" s="24">
        <v>128</v>
      </c>
    </row>
    <row r="7" spans="1:6" ht="18" x14ac:dyDescent="0.2">
      <c r="A7" s="22" t="s">
        <v>166</v>
      </c>
      <c r="B7" s="25">
        <v>3.3599999999999998E-2</v>
      </c>
    </row>
    <row r="8" spans="1:6" ht="18" x14ac:dyDescent="0.2">
      <c r="A8" s="22" t="s">
        <v>79</v>
      </c>
      <c r="B8" s="24">
        <v>2</v>
      </c>
    </row>
    <row r="10" spans="1:6" ht="18" x14ac:dyDescent="0.2">
      <c r="A10" s="22" t="s">
        <v>167</v>
      </c>
      <c r="B10" s="45">
        <f>B7/(B8*3600)</f>
        <v>4.6666666666666663E-6</v>
      </c>
    </row>
    <row r="11" spans="1:6" ht="18" x14ac:dyDescent="0.2">
      <c r="A11" s="22" t="s">
        <v>168</v>
      </c>
      <c r="B11" s="45">
        <f>B10*B5*B4</f>
        <v>1.4E-5</v>
      </c>
    </row>
    <row r="12" spans="1:6" ht="18" x14ac:dyDescent="0.2">
      <c r="A12" s="22" t="s">
        <v>169</v>
      </c>
      <c r="B12" s="25">
        <v>1E-4</v>
      </c>
    </row>
    <row r="13" spans="1:6" ht="18" x14ac:dyDescent="0.2">
      <c r="A13" s="28" t="s">
        <v>170</v>
      </c>
      <c r="B13" s="46">
        <f>B11+B12</f>
        <v>1.1400000000000001E-4</v>
      </c>
    </row>
    <row r="16" spans="1:6" ht="19" x14ac:dyDescent="0.2">
      <c r="A16" s="10" t="s">
        <v>171</v>
      </c>
    </row>
    <row r="19" spans="1:2" ht="18" x14ac:dyDescent="0.2">
      <c r="A19" s="22" t="s">
        <v>172</v>
      </c>
      <c r="B19" s="25">
        <v>5.0000000000000001E-3</v>
      </c>
    </row>
    <row r="20" spans="1:2" ht="18" x14ac:dyDescent="0.2">
      <c r="A20" s="22" t="s">
        <v>173</v>
      </c>
      <c r="B20" s="45">
        <f>B13</f>
        <v>1.1400000000000001E-4</v>
      </c>
    </row>
    <row r="21" spans="1:2" ht="18" x14ac:dyDescent="0.2">
      <c r="A21" s="22" t="s">
        <v>174</v>
      </c>
      <c r="B21" s="45">
        <f>B19-B20</f>
        <v>4.8859999999999997E-3</v>
      </c>
    </row>
    <row r="22" spans="1:2" ht="18" x14ac:dyDescent="0.2">
      <c r="A22" s="28" t="s">
        <v>175</v>
      </c>
      <c r="B22" s="47">
        <f>B21/B19</f>
        <v>0.97719999999999996</v>
      </c>
    </row>
    <row r="24" spans="1:2" ht="18" x14ac:dyDescent="0.2">
      <c r="A24" s="22" t="s">
        <v>176</v>
      </c>
      <c r="B24" s="24">
        <v>1000</v>
      </c>
    </row>
    <row r="25" spans="1:2" ht="18" x14ac:dyDescent="0.2">
      <c r="A25" s="22" t="s">
        <v>81</v>
      </c>
      <c r="B25" s="24">
        <v>50</v>
      </c>
    </row>
    <row r="26" spans="1:2" ht="18" x14ac:dyDescent="0.2">
      <c r="A26" s="22" t="s">
        <v>177</v>
      </c>
      <c r="B26" s="27">
        <f>B24*B25</f>
        <v>50000</v>
      </c>
    </row>
    <row r="27" spans="1:2" ht="18" x14ac:dyDescent="0.2">
      <c r="A27" s="22" t="s">
        <v>178</v>
      </c>
      <c r="B27" s="30">
        <f>B26*B19</f>
        <v>250</v>
      </c>
    </row>
    <row r="28" spans="1:2" ht="18" x14ac:dyDescent="0.2">
      <c r="A28" s="22" t="s">
        <v>179</v>
      </c>
      <c r="B28" s="30">
        <f>B26*B20</f>
        <v>5.7</v>
      </c>
    </row>
    <row r="29" spans="1:2" ht="18" x14ac:dyDescent="0.2">
      <c r="A29" s="28" t="s">
        <v>180</v>
      </c>
      <c r="B29" s="31">
        <f>B27-B28</f>
        <v>244.3</v>
      </c>
    </row>
    <row r="32" spans="1:2" ht="19" x14ac:dyDescent="0.2">
      <c r="A32" s="10" t="s">
        <v>181</v>
      </c>
    </row>
    <row r="34" spans="1:6" ht="19" x14ac:dyDescent="0.2">
      <c r="A34" s="1" t="s">
        <v>182</v>
      </c>
      <c r="B34" s="1" t="s">
        <v>183</v>
      </c>
      <c r="C34" s="1" t="s">
        <v>184</v>
      </c>
      <c r="D34" s="1" t="s">
        <v>185</v>
      </c>
      <c r="E34" s="1" t="s">
        <v>186</v>
      </c>
      <c r="F34" s="1" t="s">
        <v>187</v>
      </c>
    </row>
    <row r="35" spans="1:6" ht="18" x14ac:dyDescent="0.2">
      <c r="A35" s="48" t="s">
        <v>115</v>
      </c>
      <c r="B35" s="3">
        <v>500</v>
      </c>
      <c r="C35" s="5">
        <v>9.9</v>
      </c>
      <c r="D35" s="4">
        <f>C35/B35</f>
        <v>1.9800000000000002E-2</v>
      </c>
      <c r="E35" s="5">
        <f>B35*$B$13</f>
        <v>5.7000000000000002E-2</v>
      </c>
      <c r="F35" s="5">
        <f>C35-E35</f>
        <v>9.843</v>
      </c>
    </row>
    <row r="36" spans="1:6" ht="18" x14ac:dyDescent="0.2">
      <c r="A36" s="49" t="s">
        <v>188</v>
      </c>
      <c r="B36" s="7">
        <v>2000</v>
      </c>
      <c r="C36" s="9">
        <v>29.9</v>
      </c>
      <c r="D36" s="8">
        <f>C36/B36</f>
        <v>1.495E-2</v>
      </c>
      <c r="E36" s="9">
        <f>B36*$B$13</f>
        <v>0.22800000000000001</v>
      </c>
      <c r="F36" s="9">
        <f>C36-E36</f>
        <v>29.671999999999997</v>
      </c>
    </row>
    <row r="37" spans="1:6" ht="18" x14ac:dyDescent="0.2">
      <c r="A37" s="48" t="s">
        <v>189</v>
      </c>
      <c r="B37" s="3">
        <v>10000</v>
      </c>
      <c r="C37" s="5">
        <v>99.9</v>
      </c>
      <c r="D37" s="4">
        <f>C37/B37</f>
        <v>9.9900000000000006E-3</v>
      </c>
      <c r="E37" s="5">
        <f>B37*$B$13</f>
        <v>1.1400000000000001</v>
      </c>
      <c r="F37" s="5">
        <f>C37-E37</f>
        <v>98.76</v>
      </c>
    </row>
    <row r="38" spans="1:6" ht="18" x14ac:dyDescent="0.2">
      <c r="A38" s="49" t="s">
        <v>120</v>
      </c>
      <c r="B38" s="7">
        <v>50000</v>
      </c>
      <c r="C38" s="9">
        <v>349.9</v>
      </c>
      <c r="D38" s="8">
        <f>C38/B38</f>
        <v>6.9979999999999999E-3</v>
      </c>
      <c r="E38" s="9">
        <f>B38*$B$13</f>
        <v>5.7</v>
      </c>
      <c r="F38" s="9">
        <f>C38-E38</f>
        <v>344.2</v>
      </c>
    </row>
    <row r="39" spans="1:6" ht="18" x14ac:dyDescent="0.2">
      <c r="A39" s="48" t="s">
        <v>190</v>
      </c>
      <c r="B39" s="2" t="s">
        <v>191</v>
      </c>
      <c r="C39" s="2" t="s">
        <v>191</v>
      </c>
      <c r="D39" s="4">
        <v>8.0000000000000002E-3</v>
      </c>
      <c r="E39" s="50">
        <f>$B$13</f>
        <v>1.1400000000000001E-4</v>
      </c>
      <c r="F39" s="50">
        <f>D39-E39</f>
        <v>7.8860000000000006E-3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Catalogue EC2</vt:lpstr>
      <vt:lpstr>Parametres</vt:lpstr>
      <vt:lpstr>Simulateur</vt:lpstr>
      <vt:lpstr>Scenarios</vt:lpstr>
      <vt:lpstr>Scaling</vt:lpstr>
      <vt:lpstr>Execution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Edouard Bernier-Nahon</cp:lastModifiedBy>
  <cp:revision>0</cp:revision>
  <dcterms:created xsi:type="dcterms:W3CDTF">2026-03-18T14:38:15Z</dcterms:created>
  <dcterms:modified xsi:type="dcterms:W3CDTF">2026-04-11T10:10:29Z</dcterms:modified>
  <dc:language>fr-FR</dc:language>
</cp:coreProperties>
</file>